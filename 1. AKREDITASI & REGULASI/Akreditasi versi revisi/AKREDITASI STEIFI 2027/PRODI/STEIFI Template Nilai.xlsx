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00A11C5-6305-42CF-86C3-56BC16305DF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S 1 Reg" sheetId="6" r:id="rId1"/>
    <sheet name="PS 1 Reg" sheetId="7" r:id="rId2"/>
    <sheet name="ES 1 Karyawan" sheetId="8" r:id="rId3"/>
    <sheet name="ES 3" sheetId="2" r:id="rId4"/>
    <sheet name="PS 3" sheetId="3" r:id="rId5"/>
    <sheet name="ES 5" sheetId="4" r:id="rId6"/>
    <sheet name="PS 5" sheetId="5" r:id="rId7"/>
    <sheet name="ES 7" sheetId="1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8" l="1"/>
  <c r="G40" i="8" s="1"/>
  <c r="F39" i="8"/>
  <c r="G39" i="8" s="1"/>
  <c r="F38" i="8"/>
  <c r="G38" i="8" s="1"/>
  <c r="F37" i="8"/>
  <c r="G37" i="8" s="1"/>
  <c r="F36" i="8"/>
  <c r="G36" i="8" s="1"/>
  <c r="F35" i="8"/>
  <c r="G35" i="8" s="1"/>
  <c r="F34" i="8"/>
  <c r="G34" i="8" s="1"/>
  <c r="F33" i="8"/>
  <c r="G33" i="8" s="1"/>
  <c r="F32" i="8"/>
  <c r="G32" i="8" s="1"/>
  <c r="F31" i="8"/>
  <c r="G31" i="8" s="1"/>
  <c r="F30" i="8"/>
  <c r="G30" i="8" s="1"/>
  <c r="F29" i="8"/>
  <c r="G29" i="8" s="1"/>
  <c r="F28" i="8"/>
  <c r="G28" i="8" s="1"/>
  <c r="F27" i="8"/>
  <c r="G27" i="8" s="1"/>
  <c r="F26" i="8"/>
  <c r="G26" i="8" s="1"/>
  <c r="F25" i="8"/>
  <c r="G25" i="8" s="1"/>
  <c r="F24" i="8"/>
  <c r="G24" i="8" s="1"/>
  <c r="F23" i="8"/>
  <c r="G23" i="8" s="1"/>
  <c r="F22" i="8"/>
  <c r="G22" i="8" s="1"/>
  <c r="F21" i="8"/>
  <c r="G21" i="8" s="1"/>
  <c r="F20" i="8"/>
  <c r="G20" i="8" s="1"/>
  <c r="F19" i="8"/>
  <c r="G19" i="8" s="1"/>
  <c r="F18" i="8"/>
  <c r="G18" i="8" s="1"/>
  <c r="F17" i="8"/>
  <c r="G17" i="8" s="1"/>
  <c r="F16" i="8"/>
  <c r="G16" i="8" s="1"/>
  <c r="F15" i="8"/>
  <c r="G15" i="8" s="1"/>
  <c r="F14" i="8"/>
  <c r="G14" i="8" s="1"/>
  <c r="F13" i="8"/>
  <c r="G13" i="8" s="1"/>
  <c r="F12" i="8"/>
  <c r="G12" i="8" s="1"/>
  <c r="F11" i="8"/>
  <c r="G11" i="8" s="1"/>
  <c r="F16" i="7"/>
  <c r="G16" i="7" s="1"/>
  <c r="F15" i="7"/>
  <c r="G15" i="7" s="1"/>
  <c r="F14" i="7"/>
  <c r="G14" i="7" s="1"/>
  <c r="F13" i="7"/>
  <c r="G13" i="7" s="1"/>
  <c r="F12" i="7"/>
  <c r="G12" i="7" s="1"/>
  <c r="F11" i="7"/>
  <c r="G11" i="7" s="1"/>
  <c r="F26" i="6"/>
  <c r="G26" i="6" s="1"/>
  <c r="F25" i="6"/>
  <c r="G25" i="6" s="1"/>
  <c r="F24" i="6"/>
  <c r="G24" i="6" s="1"/>
  <c r="F23" i="6"/>
  <c r="G23" i="6" s="1"/>
  <c r="F22" i="6"/>
  <c r="G22" i="6" s="1"/>
  <c r="F21" i="6"/>
  <c r="G21" i="6" s="1"/>
  <c r="F20" i="6"/>
  <c r="G20" i="6" s="1"/>
  <c r="F19" i="6"/>
  <c r="G19" i="6" s="1"/>
  <c r="F18" i="6"/>
  <c r="G18" i="6" s="1"/>
  <c r="F17" i="6"/>
  <c r="G17" i="6" s="1"/>
  <c r="F16" i="6"/>
  <c r="G16" i="6" s="1"/>
  <c r="F15" i="6"/>
  <c r="G15" i="6" s="1"/>
  <c r="F14" i="6"/>
  <c r="G14" i="6" s="1"/>
  <c r="F13" i="6"/>
  <c r="G13" i="6" s="1"/>
  <c r="F12" i="6"/>
  <c r="G12" i="6" s="1"/>
  <c r="F11" i="6"/>
  <c r="G11" i="6" s="1"/>
  <c r="G24" i="5"/>
  <c r="H24" i="5" s="1"/>
  <c r="G23" i="5"/>
  <c r="H23" i="5" s="1"/>
  <c r="G22" i="5"/>
  <c r="H22" i="5" s="1"/>
  <c r="G21" i="5"/>
  <c r="H21" i="5" s="1"/>
  <c r="G20" i="5"/>
  <c r="H20" i="5" s="1"/>
  <c r="G19" i="5"/>
  <c r="H19" i="5" s="1"/>
  <c r="G18" i="5"/>
  <c r="H18" i="5" s="1"/>
  <c r="G17" i="5"/>
  <c r="H17" i="5" s="1"/>
  <c r="G16" i="5"/>
  <c r="H16" i="5" s="1"/>
  <c r="G15" i="5"/>
  <c r="H15" i="5" s="1"/>
  <c r="G14" i="5"/>
  <c r="H14" i="5" s="1"/>
  <c r="G49" i="4" l="1"/>
  <c r="H49" i="4" s="1"/>
  <c r="D49" i="4"/>
  <c r="G48" i="4"/>
  <c r="H48" i="4" s="1"/>
  <c r="D48" i="4"/>
  <c r="G47" i="4"/>
  <c r="H47" i="4" s="1"/>
  <c r="D47" i="4"/>
  <c r="G46" i="4"/>
  <c r="H46" i="4" s="1"/>
  <c r="D46" i="4"/>
  <c r="G45" i="4"/>
  <c r="H45" i="4" s="1"/>
  <c r="D45" i="4"/>
  <c r="G44" i="4"/>
  <c r="H44" i="4" s="1"/>
  <c r="D44" i="4"/>
  <c r="G43" i="4"/>
  <c r="H43" i="4" s="1"/>
  <c r="D43" i="4"/>
  <c r="G42" i="4"/>
  <c r="H42" i="4" s="1"/>
  <c r="D42" i="4"/>
  <c r="G41" i="4"/>
  <c r="H41" i="4" s="1"/>
  <c r="D41" i="4"/>
  <c r="G40" i="4"/>
  <c r="H40" i="4" s="1"/>
  <c r="D40" i="4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F47" i="2" l="1"/>
  <c r="G47" i="2" s="1"/>
  <c r="F14" i="2"/>
  <c r="G14" i="2" s="1"/>
  <c r="F11" i="2"/>
  <c r="G11" i="2" s="1"/>
  <c r="F17" i="3"/>
  <c r="G17" i="3" s="1"/>
  <c r="F16" i="3"/>
  <c r="G16" i="3" s="1"/>
  <c r="F15" i="3"/>
  <c r="G15" i="3" s="1"/>
  <c r="F14" i="3"/>
  <c r="G14" i="3" s="1"/>
  <c r="F13" i="3"/>
  <c r="G13" i="3" s="1"/>
  <c r="F12" i="3"/>
  <c r="G12" i="3" s="1"/>
  <c r="F11" i="3"/>
  <c r="G11" i="3" s="1"/>
  <c r="F51" i="2" l="1"/>
  <c r="G51" i="2" s="1"/>
  <c r="F50" i="2"/>
  <c r="G50" i="2" s="1"/>
  <c r="F49" i="2"/>
  <c r="G49" i="2" s="1"/>
  <c r="F48" i="2"/>
  <c r="G48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3" i="2"/>
  <c r="G13" i="2" s="1"/>
  <c r="F12" i="2"/>
  <c r="G12" i="2" s="1"/>
  <c r="F21" i="1" l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</calcChain>
</file>

<file path=xl/sharedStrings.xml><?xml version="1.0" encoding="utf-8"?>
<sst xmlns="http://schemas.openxmlformats.org/spreadsheetml/2006/main" count="760" uniqueCount="243">
  <si>
    <t>NILAI MATA KULIAH</t>
  </si>
  <si>
    <t>Mata Kuliah</t>
  </si>
  <si>
    <t>Program Studi</t>
  </si>
  <si>
    <t>: Ekonomi Syariah</t>
  </si>
  <si>
    <t>Kode MK</t>
  </si>
  <si>
    <t xml:space="preserve">: </t>
  </si>
  <si>
    <t>Dosen Pengampu</t>
  </si>
  <si>
    <t>Bobot SKS</t>
  </si>
  <si>
    <t>Semester (TA)</t>
  </si>
  <si>
    <t>DATA MAHASISWA</t>
  </si>
  <si>
    <t>DATA NILAI AKHIR</t>
  </si>
  <si>
    <t>NILAI KOMPONEN EVALUASI</t>
  </si>
  <si>
    <t>NO</t>
  </si>
  <si>
    <t>NIM</t>
  </si>
  <si>
    <t>NAMA MAHASISWA</t>
  </si>
  <si>
    <t>PRODI</t>
  </si>
  <si>
    <t>ANGKATAN</t>
  </si>
  <si>
    <t>ANGKA</t>
  </si>
  <si>
    <t>HURUF</t>
  </si>
  <si>
    <t>AKTIVITAS PARTISIPATIF</t>
  </si>
  <si>
    <t>HASIL PEROYEK</t>
  </si>
  <si>
    <t>PENGETAHUAN QUIZ</t>
  </si>
  <si>
    <t>PENUGASAN</t>
  </si>
  <si>
    <t>UTS</t>
  </si>
  <si>
    <t>UAS</t>
  </si>
  <si>
    <t>1</t>
  </si>
  <si>
    <t>Agla Silmi Hilyatin</t>
  </si>
  <si>
    <t>Ekonomi Syariah</t>
  </si>
  <si>
    <t>2</t>
  </si>
  <si>
    <t>Ayu Sukmawati</t>
  </si>
  <si>
    <t>3</t>
  </si>
  <si>
    <t>Evi Saepini Solihah</t>
  </si>
  <si>
    <t>4</t>
  </si>
  <si>
    <t>Fauzan Syaeful Malik</t>
  </si>
  <si>
    <t>5</t>
  </si>
  <si>
    <t>Gina Roudlotul Jannah</t>
  </si>
  <si>
    <t>6</t>
  </si>
  <si>
    <t>Neli</t>
  </si>
  <si>
    <t>7</t>
  </si>
  <si>
    <t>Haidar Agy Rafsanjani</t>
  </si>
  <si>
    <t>8</t>
  </si>
  <si>
    <t>Anang Suhana</t>
  </si>
  <si>
    <t>9</t>
  </si>
  <si>
    <t>Alwi Hasan</t>
  </si>
  <si>
    <t>10</t>
  </si>
  <si>
    <t>Dinar Indrayana</t>
  </si>
  <si>
    <t>11</t>
  </si>
  <si>
    <t>Husni Mubarak</t>
  </si>
  <si>
    <t>12</t>
  </si>
  <si>
    <t>Muhamad Riza Agnia</t>
  </si>
  <si>
    <t>KET: SISTEM DAN KONVERSI PENILAIAN</t>
  </si>
  <si>
    <t>SKOR</t>
  </si>
  <si>
    <t xml:space="preserve"> PREDIKAT </t>
  </si>
  <si>
    <t>81 – 100</t>
  </si>
  <si>
    <t xml:space="preserve"> A </t>
  </si>
  <si>
    <t xml:space="preserve">SANGAT  BAIK </t>
  </si>
  <si>
    <t>66-80</t>
  </si>
  <si>
    <t>B</t>
  </si>
  <si>
    <t>BAIK</t>
  </si>
  <si>
    <t>56-65</t>
  </si>
  <si>
    <t xml:space="preserve"> C </t>
  </si>
  <si>
    <t>CUKUP</t>
  </si>
  <si>
    <t>46-55</t>
  </si>
  <si>
    <t xml:space="preserve"> D </t>
  </si>
  <si>
    <t>KURANG</t>
  </si>
  <si>
    <t>0-45</t>
  </si>
  <si>
    <t>E</t>
  </si>
  <si>
    <t>GAGAL</t>
  </si>
  <si>
    <t>Ahmad Muhadzdzib</t>
  </si>
  <si>
    <t>Akmal Fadhlurrahman</t>
  </si>
  <si>
    <t>Aldi Firmansyah</t>
  </si>
  <si>
    <t>Alya Ramadhani</t>
  </si>
  <si>
    <t>Ammar Abdurrohman</t>
  </si>
  <si>
    <t>Andi Arisandi</t>
  </si>
  <si>
    <t>Andi Ashari</t>
  </si>
  <si>
    <t>Anisa</t>
  </si>
  <si>
    <t>Asep Rohaendi</t>
  </si>
  <si>
    <t>Cinthya Anaya Cahyani</t>
  </si>
  <si>
    <t>13</t>
  </si>
  <si>
    <t>Devi Hariwibowo</t>
  </si>
  <si>
    <t>14</t>
  </si>
  <si>
    <t>Dicky Ramdani</t>
  </si>
  <si>
    <t>15</t>
  </si>
  <si>
    <t>Dimas Abdulah</t>
  </si>
  <si>
    <t>16</t>
  </si>
  <si>
    <t>Eva Cahaya Kumala</t>
  </si>
  <si>
    <t>17</t>
  </si>
  <si>
    <t>Fitria Nurul Hikmah</t>
  </si>
  <si>
    <t>18</t>
  </si>
  <si>
    <t>Ichwan Hamid Mubarok</t>
  </si>
  <si>
    <t>19</t>
  </si>
  <si>
    <t>20</t>
  </si>
  <si>
    <t>Luqman Shaleh</t>
  </si>
  <si>
    <t>21</t>
  </si>
  <si>
    <t>Maharani Puji Astuti</t>
  </si>
  <si>
    <t>22</t>
  </si>
  <si>
    <t>Marwah</t>
  </si>
  <si>
    <t>23</t>
  </si>
  <si>
    <t>Miftahul Jannah Kamil</t>
  </si>
  <si>
    <t>24</t>
  </si>
  <si>
    <t>Moch Rizki Oktavian</t>
  </si>
  <si>
    <t>25</t>
  </si>
  <si>
    <t>Muhammad Farid Mutsir</t>
  </si>
  <si>
    <t>26</t>
  </si>
  <si>
    <t>Muhammad Maulidan Jidan</t>
  </si>
  <si>
    <t>27</t>
  </si>
  <si>
    <t>Muhammad Syakir Ridho</t>
  </si>
  <si>
    <t>28</t>
  </si>
  <si>
    <t>Naisya Shafa Mardiana</t>
  </si>
  <si>
    <t>29</t>
  </si>
  <si>
    <t>Najwa Nur Fadhillah</t>
  </si>
  <si>
    <t>30</t>
  </si>
  <si>
    <t>Putri Ayu Alipan</t>
  </si>
  <si>
    <t>31</t>
  </si>
  <si>
    <t>Reksa Nufitria</t>
  </si>
  <si>
    <t>32</t>
  </si>
  <si>
    <t>Rima Priorita</t>
  </si>
  <si>
    <t>33</t>
  </si>
  <si>
    <t>Rismawati</t>
  </si>
  <si>
    <t>34</t>
  </si>
  <si>
    <t>Rizki Ramadhan</t>
  </si>
  <si>
    <t>35</t>
  </si>
  <si>
    <t>Robi Candra</t>
  </si>
  <si>
    <t>Siska Febri Nursyamsiah</t>
  </si>
  <si>
    <t>Slamet Turahman</t>
  </si>
  <si>
    <t>Suhaimi Harianto</t>
  </si>
  <si>
    <t>Suti Suci</t>
  </si>
  <si>
    <t>Alvin Farhanudin F</t>
  </si>
  <si>
    <t>Rizka Permata G</t>
  </si>
  <si>
    <t>Lathifah Zaidy</t>
  </si>
  <si>
    <t>Rifaatul Fauziah</t>
  </si>
  <si>
    <t>Moch Wimas Adiwinata</t>
  </si>
  <si>
    <t>: Perbankan Syariah</t>
  </si>
  <si>
    <t>:</t>
  </si>
  <si>
    <t>Amelia Ramadhan</t>
  </si>
  <si>
    <t>Perbankan Syariah</t>
  </si>
  <si>
    <t>Arini Siti Maryam</t>
  </si>
  <si>
    <t>Hana Safa Nafisa</t>
  </si>
  <si>
    <t xml:space="preserve">Rifana Nur Sofa </t>
  </si>
  <si>
    <t>Winda Nikita Putri</t>
  </si>
  <si>
    <t>Yanti Juwita Aminah</t>
  </si>
  <si>
    <t>M Farid Dwi Agustian</t>
  </si>
  <si>
    <t>Semester</t>
  </si>
  <si>
    <t>Tahun Akademik</t>
  </si>
  <si>
    <t>DATA NILAI</t>
  </si>
  <si>
    <t>AKTIVITAS PARTISIPATIF (1 - 100 %)</t>
  </si>
  <si>
    <t>HASIL PEROYEK (1 - 100 %)</t>
  </si>
  <si>
    <t>KOGNITIF/PENGETAHUAN QUIZ (1 - 100 %)</t>
  </si>
  <si>
    <t>KOGNITIF / PENGETAHUAN TUGAS (1 - 100 %)</t>
  </si>
  <si>
    <t>KOGNITIF / PENGETAHUAN UTS (1 - 100 %)</t>
  </si>
  <si>
    <t>KOGNITIF / PENGETAHUAN UAS (1 - 100 %)</t>
  </si>
  <si>
    <t>Contoh 10%</t>
  </si>
  <si>
    <t>Contoh 15%</t>
  </si>
  <si>
    <t>Contoh 25%</t>
  </si>
  <si>
    <t>Ade Rohana</t>
  </si>
  <si>
    <t>Aisyah Balqis</t>
  </si>
  <si>
    <t>Asep Rohmanul Hakim</t>
  </si>
  <si>
    <t>Azmi Naufal</t>
  </si>
  <si>
    <t>Dang Oki Bambang H.</t>
  </si>
  <si>
    <t>Dian Darmawan</t>
  </si>
  <si>
    <t>Harris M.A.</t>
  </si>
  <si>
    <t>Khalisya Sabrina Magfira</t>
  </si>
  <si>
    <t>M. Anwar Solehudin</t>
  </si>
  <si>
    <t>Mila Karmila</t>
  </si>
  <si>
    <t>Moch. Aldy Quat P.</t>
  </si>
  <si>
    <t>Muhamad Riyan Hidayat</t>
  </si>
  <si>
    <t>Nadia Sopandi</t>
  </si>
  <si>
    <t>Nuri Nursalina F</t>
  </si>
  <si>
    <t>Nurul Khofifah</t>
  </si>
  <si>
    <t>Ridwan Sofian</t>
  </si>
  <si>
    <t>Saefulloh</t>
  </si>
  <si>
    <t>Silny Nurul Qolby</t>
  </si>
  <si>
    <t>Siti Fatimah</t>
  </si>
  <si>
    <t>Tirtana Kurniawan</t>
  </si>
  <si>
    <t>Wafa Renanthena</t>
  </si>
  <si>
    <t>Haidir Agung</t>
  </si>
  <si>
    <t>Muhammad Fahmi Imannudin</t>
  </si>
  <si>
    <t>Ikhlas Sholihati</t>
  </si>
  <si>
    <t>Nurul Hidayah</t>
  </si>
  <si>
    <t>Ridwan Firdaus</t>
  </si>
  <si>
    <t>Ihsan Nul Amal</t>
  </si>
  <si>
    <t>Anne Yuliana</t>
  </si>
  <si>
    <t>Tanti Rahayu</t>
  </si>
  <si>
    <t>Muhammad Lutpi Ashopari</t>
  </si>
  <si>
    <t>Annisa Dwi Anggraeni</t>
  </si>
  <si>
    <t>Ari Lugina</t>
  </si>
  <si>
    <t>Depina Pebriyanti</t>
  </si>
  <si>
    <t>Endah Nuriah</t>
  </si>
  <si>
    <t>Sabina Eka Putri</t>
  </si>
  <si>
    <t>Tria Meliani</t>
  </si>
  <si>
    <t xml:space="preserve">: 6 </t>
  </si>
  <si>
    <t>Adiya Ahmad Alfarisi</t>
  </si>
  <si>
    <t>Alisya Suci Nurjanah</t>
  </si>
  <si>
    <t>Anggi Yulianti</t>
  </si>
  <si>
    <t>Dimas Ahmad Saktiawan</t>
  </si>
  <si>
    <t>Fadlan Firdaus</t>
  </si>
  <si>
    <t>Ghina Aulia Gunawan</t>
  </si>
  <si>
    <t>Laura Nur Sri Farida</t>
  </si>
  <si>
    <t>M Jamil Ash Shidiq</t>
  </si>
  <si>
    <t>Nisa Nabillah</t>
  </si>
  <si>
    <t>Rania Dian Permatasari</t>
  </si>
  <si>
    <t>Resa Setiawati</t>
  </si>
  <si>
    <t>Rizki Ahmad Baehaki</t>
  </si>
  <si>
    <t>Sindy Anya Pramudita</t>
  </si>
  <si>
    <t>Siti Fadilah Nurazizah</t>
  </si>
  <si>
    <t>Suci Nuraeni</t>
  </si>
  <si>
    <t>Wanda Reiysalma</t>
  </si>
  <si>
    <t>Danis Putra Purwanto</t>
  </si>
  <si>
    <t>Salwa Cecilia Susanti</t>
  </si>
  <si>
    <t>Nita Amelia</t>
  </si>
  <si>
    <t>Siti Ramiatul A</t>
  </si>
  <si>
    <t>Susanti</t>
  </si>
  <si>
    <t>Azmi Fauziah</t>
  </si>
  <si>
    <t>Andrian Kusuma Wijaya</t>
  </si>
  <si>
    <t>Ari Wahyudin</t>
  </si>
  <si>
    <t>Aziz Malik Arrasid</t>
  </si>
  <si>
    <t>Cecep Saefulloh</t>
  </si>
  <si>
    <t>Dela Argadila Marisa Puteri</t>
  </si>
  <si>
    <t>Febrian Putra Pratama</t>
  </si>
  <si>
    <t>Giffar Ramadhan</t>
  </si>
  <si>
    <t>Ikhwan Fahmi Salam</t>
  </si>
  <si>
    <t>Ilyas Putra Pamungkas</t>
  </si>
  <si>
    <t>Iskandar Muhamad Zaelani </t>
  </si>
  <si>
    <t>Jajang Rina Sobirin</t>
  </si>
  <si>
    <t>Julianti</t>
  </si>
  <si>
    <t>Lathif Kamal Muharrom</t>
  </si>
  <si>
    <t>Muhammad Alfan Azkia</t>
  </si>
  <si>
    <t>Muhammad Fachri Barlian</t>
  </si>
  <si>
    <t>Mochammad Fadli Zakaria Nasution</t>
  </si>
  <si>
    <t>Muhammad Hanafi Hibatullah</t>
  </si>
  <si>
    <t>Muhammad Nawwaf Arrafif</t>
  </si>
  <si>
    <t>Muhammad Syamil Al-Ghazy</t>
  </si>
  <si>
    <t>Nabila</t>
  </si>
  <si>
    <t>Nisa</t>
  </si>
  <si>
    <t>Nita Sanoesi</t>
  </si>
  <si>
    <t>Panji Agung Ramadhan</t>
  </si>
  <si>
    <t>Putri</t>
  </si>
  <si>
    <t>Reihan Nizzatiroyan</t>
  </si>
  <si>
    <t>Rendra Adi Saputra</t>
  </si>
  <si>
    <t>Roni Dahroni</t>
  </si>
  <si>
    <t>Sultan Ababil Alfurqon</t>
  </si>
  <si>
    <t>Tsabitah Asma Abdatullah</t>
  </si>
  <si>
    <t>Zahra Rizkiya Nurrahma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</si>
</sst>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1"/>
      <name val="Calibri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 tint="0.499984740745262"/>
      <name val="Calibri"/>
      <family val="2"/>
      <scheme val="minor"/>
    </font>
    <font>
      <sz val="10"/>
      <color rgb="FF000000"/>
      <name val="Opensans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rgb="FF3C4043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4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/>
    <xf numFmtId="0" fontId="5" fillId="0" borderId="0" xfId="0" applyFont="1"/>
    <xf numFmtId="0" fontId="4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center"/>
    </xf>
    <xf numFmtId="1" fontId="4" fillId="0" borderId="4" xfId="0" applyNumberFormat="1" applyFont="1" applyBorder="1" applyAlignment="1">
      <alignment horizontal="right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1" fontId="4" fillId="0" borderId="6" xfId="0" applyNumberFormat="1" applyFont="1" applyBorder="1" applyAlignment="1">
      <alignment horizontal="right"/>
    </xf>
    <xf numFmtId="0" fontId="4" fillId="0" borderId="7" xfId="0" applyFont="1" applyBorder="1"/>
    <xf numFmtId="0" fontId="0" fillId="0" borderId="5" xfId="0" applyBorder="1" applyAlignment="1">
      <alignment horizontal="center" wrapText="1"/>
    </xf>
    <xf numFmtId="1" fontId="4" fillId="0" borderId="1" xfId="0" applyNumberFormat="1" applyFont="1" applyBorder="1" applyAlignment="1">
      <alignment horizontal="center"/>
    </xf>
    <xf numFmtId="0" fontId="4" fillId="0" borderId="4" xfId="0" applyFont="1" applyBorder="1"/>
    <xf numFmtId="0" fontId="4" fillId="0" borderId="6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3" fillId="6" borderId="4" xfId="0" applyFont="1" applyFill="1" applyBorder="1" applyAlignment="1">
      <alignment horizontal="center"/>
    </xf>
    <xf numFmtId="1" fontId="4" fillId="0" borderId="0" xfId="0" applyNumberFormat="1" applyFont="1"/>
    <xf numFmtId="0" fontId="4" fillId="0" borderId="0" xfId="0" applyFont="1" applyAlignment="1">
      <alignment wrapText="1"/>
    </xf>
    <xf numFmtId="0" fontId="4" fillId="0" borderId="4" xfId="0" applyFont="1" applyBorder="1" applyAlignment="1">
      <alignment horizontal="center" wrapText="1"/>
    </xf>
    <xf numFmtId="0" fontId="7" fillId="0" borderId="5" xfId="0" applyFont="1" applyBorder="1"/>
    <xf numFmtId="0" fontId="0" fillId="7" borderId="5" xfId="0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7" fillId="8" borderId="5" xfId="0" applyFont="1" applyFill="1" applyBorder="1"/>
    <xf numFmtId="0" fontId="8" fillId="0" borderId="0" xfId="0" applyFont="1"/>
    <xf numFmtId="0" fontId="8" fillId="2" borderId="0" xfId="0" applyFont="1" applyFill="1" applyAlignment="1">
      <alignment horizontal="center"/>
    </xf>
    <xf numFmtId="0" fontId="10" fillId="3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2" fillId="0" borderId="4" xfId="0" quotePrefix="1" applyFont="1" applyBorder="1" applyAlignment="1">
      <alignment horizontal="center"/>
    </xf>
    <xf numFmtId="1" fontId="12" fillId="0" borderId="4" xfId="0" applyNumberFormat="1" applyFont="1" applyBorder="1" applyAlignment="1">
      <alignment horizontal="right"/>
    </xf>
    <xf numFmtId="0" fontId="12" fillId="0" borderId="5" xfId="0" applyFont="1" applyBorder="1"/>
    <xf numFmtId="0" fontId="12" fillId="7" borderId="4" xfId="0" applyFont="1" applyFill="1" applyBorder="1" applyAlignment="1">
      <alignment horizontal="center"/>
    </xf>
    <xf numFmtId="1" fontId="12" fillId="7" borderId="4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 wrapText="1"/>
    </xf>
    <xf numFmtId="0" fontId="1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15" fillId="0" borderId="5" xfId="0" applyFont="1" applyBorder="1" applyAlignment="1">
      <alignment horizontal="center" wrapText="1"/>
    </xf>
    <xf numFmtId="0" fontId="0" fillId="0" borderId="5" xfId="0" quotePrefix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0" fillId="0" borderId="5" xfId="0" applyBorder="1" applyAlignment="1">
      <alignment vertical="center" wrapText="1"/>
    </xf>
    <xf numFmtId="1" fontId="5" fillId="0" borderId="5" xfId="0" applyNumberFormat="1" applyFont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17" fillId="0" borderId="5" xfId="0" applyFont="1" applyBorder="1"/>
    <xf numFmtId="0" fontId="18" fillId="0" borderId="0" xfId="0" applyFont="1" applyAlignment="1">
      <alignment horizontal="center"/>
    </xf>
    <xf numFmtId="0" fontId="18" fillId="2" borderId="0" xfId="0" applyFont="1" applyFill="1" applyAlignment="1">
      <alignment horizontal="left"/>
    </xf>
    <xf numFmtId="0" fontId="12" fillId="0" borderId="0" xfId="0" applyFont="1"/>
    <xf numFmtId="0" fontId="18" fillId="2" borderId="0" xfId="0" applyFont="1" applyFill="1" applyAlignment="1">
      <alignment horizontal="center"/>
    </xf>
    <xf numFmtId="0" fontId="18" fillId="0" borderId="0" xfId="0" applyFont="1"/>
    <xf numFmtId="0" fontId="12" fillId="3" borderId="4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12" fontId="12" fillId="0" borderId="5" xfId="0" applyNumberFormat="1" applyFont="1" applyBorder="1"/>
    <xf numFmtId="1" fontId="1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4" fillId="7" borderId="5" xfId="0" applyFont="1" applyFill="1" applyBorder="1" applyAlignment="1">
      <alignment horizontal="center"/>
    </xf>
    <xf numFmtId="0" fontId="20" fillId="7" borderId="5" xfId="0" applyFont="1" applyFill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12" fontId="12" fillId="7" borderId="5" xfId="0" applyNumberFormat="1" applyFont="1" applyFill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8" fillId="6" borderId="4" xfId="0" applyFont="1" applyFill="1" applyBorder="1" applyAlignment="1">
      <alignment horizontal="center"/>
    </xf>
    <xf numFmtId="1" fontId="12" fillId="0" borderId="0" xfId="0" applyNumberFormat="1" applyFont="1"/>
    <xf numFmtId="0" fontId="12" fillId="0" borderId="0" xfId="0" applyFont="1" applyAlignment="1">
      <alignment wrapText="1"/>
    </xf>
    <xf numFmtId="0" fontId="12" fillId="0" borderId="4" xfId="0" applyFont="1" applyBorder="1" applyAlignment="1">
      <alignment horizontal="center" wrapText="1"/>
    </xf>
    <xf numFmtId="0" fontId="12" fillId="2" borderId="0" xfId="0" applyFont="1" applyFill="1" applyAlignment="1">
      <alignment horizontal="center"/>
    </xf>
    <xf numFmtId="0" fontId="12" fillId="4" borderId="4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 wrapText="1"/>
    </xf>
    <xf numFmtId="0" fontId="14" fillId="0" borderId="5" xfId="0" applyFont="1" applyBorder="1"/>
    <xf numFmtId="0" fontId="12" fillId="7" borderId="5" xfId="0" applyFont="1" applyFill="1" applyBorder="1"/>
    <xf numFmtId="0" fontId="12" fillId="0" borderId="5" xfId="0" applyFont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14" fillId="0" borderId="5" xfId="0" applyFont="1" applyBorder="1" applyAlignment="1">
      <alignment horizontal="left" vertical="center"/>
    </xf>
    <xf numFmtId="12" fontId="14" fillId="7" borderId="5" xfId="0" applyNumberFormat="1" applyFont="1" applyFill="1" applyBorder="1"/>
    <xf numFmtId="12" fontId="14" fillId="0" borderId="5" xfId="0" applyNumberFormat="1" applyFont="1" applyBorder="1"/>
    <xf numFmtId="0" fontId="21" fillId="0" borderId="0" xfId="0" applyFont="1"/>
    <xf numFmtId="0" fontId="18" fillId="0" borderId="0" xfId="0" applyFont="1" applyAlignment="1">
      <alignment horizontal="center"/>
    </xf>
    <xf numFmtId="0" fontId="14" fillId="0" borderId="0" xfId="0" applyFont="1"/>
    <xf numFmtId="0" fontId="12" fillId="3" borderId="1" xfId="0" applyFont="1" applyFill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18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7" fillId="0" borderId="2" xfId="0" applyFont="1" applyBorder="1"/>
    <xf numFmtId="0" fontId="17" fillId="0" borderId="3" xfId="0" applyFont="1" applyBorder="1"/>
    <xf numFmtId="0" fontId="1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38100</xdr:rowOff>
    </xdr:from>
    <xdr:ext cx="4086225" cy="647700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C3783A20-FE1C-4D1D-888D-3FBAD62D1C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22250"/>
          <a:ext cx="4086225" cy="647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4086225" cy="647700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F7BEEE5E-274C-4EAE-9464-8048D4BFD6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5250"/>
          <a:ext cx="4086225" cy="647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38100</xdr:rowOff>
    </xdr:from>
    <xdr:ext cx="4086225" cy="647700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85C4EB26-0FB8-4744-BEB8-EDE45D35BE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22250"/>
          <a:ext cx="4086225" cy="6477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38100</xdr:rowOff>
    </xdr:from>
    <xdr:ext cx="4086225" cy="647700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28600"/>
          <a:ext cx="4086225" cy="6477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4086225" cy="647700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5250"/>
          <a:ext cx="4086225" cy="6477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70379" cy="1019848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3D8E835C-EFD1-49F4-96CA-147A5189AA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070379" cy="1019848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70379" cy="1019848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A9E73A85-6AE8-48CA-820C-5F1C29D60C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070379" cy="1019848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086225" cy="647700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086225" cy="6477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wnloads/Nilai%20Ujian%20Mahasiswa%20STEI%20FI%20TA%202024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antar Akuntansi (ES)"/>
      <sheetName val="Pengantar Akuntansi (PS)"/>
      <sheetName val="Akuntansi Syariah (ES)"/>
      <sheetName val="Akuntansi Syariah (PS)"/>
      <sheetName val="Perpajakan (ES)"/>
      <sheetName val="Perpajakan (PS)"/>
      <sheetName val="Sheet5"/>
    </sheetNames>
    <sheetDataSet>
      <sheetData sheetId="0" refreshError="1"/>
      <sheetData sheetId="1" refreshError="1"/>
      <sheetData sheetId="2" refreshError="1">
        <row r="40">
          <cell r="D40" t="str">
            <v>Agus Sahroni</v>
          </cell>
        </row>
        <row r="41">
          <cell r="D41" t="str">
            <v>Arif Syarifudin</v>
          </cell>
        </row>
        <row r="42">
          <cell r="D42" t="str">
            <v>Fauzi Akmal Rusdiansyah</v>
          </cell>
        </row>
        <row r="43">
          <cell r="D43" t="str">
            <v>Lepiyani</v>
          </cell>
        </row>
        <row r="44">
          <cell r="D44" t="str">
            <v>Masrifah</v>
          </cell>
        </row>
        <row r="45">
          <cell r="D45" t="str">
            <v>Miftah Solehudin</v>
          </cell>
        </row>
        <row r="46">
          <cell r="D46" t="str">
            <v>Muhammad Ramdan Rifai</v>
          </cell>
        </row>
        <row r="47">
          <cell r="D47" t="str">
            <v>Pirly Siti Jakiyah</v>
          </cell>
        </row>
        <row r="48">
          <cell r="D48" t="str">
            <v>Sera Ananda Septiani</v>
          </cell>
        </row>
        <row r="49">
          <cell r="D49" t="str">
            <v>Asep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50AE-77D0-4500-8C1F-2FA6A5850BAF}">
  <dimension ref="A2:M35"/>
  <sheetViews>
    <sheetView topLeftCell="A11" workbookViewId="0">
      <selection activeCell="E29" sqref="A1:XFD1048576"/>
    </sheetView>
  </sheetViews>
  <sheetFormatPr defaultColWidth="8.7109375" defaultRowHeight="15"/>
  <cols>
    <col min="1" max="1" width="3.85546875" style="54" customWidth="1"/>
    <col min="2" max="2" width="12.7109375" style="54" customWidth="1"/>
    <col min="3" max="3" width="26.140625" style="54" customWidth="1"/>
    <col min="4" max="4" width="16.140625" style="54" customWidth="1"/>
    <col min="5" max="5" width="13.140625" style="54" customWidth="1"/>
    <col min="6" max="6" width="9.140625" style="54" customWidth="1"/>
    <col min="7" max="7" width="10.140625" style="54" customWidth="1"/>
    <col min="8" max="8" width="13.7109375" style="54" customWidth="1"/>
    <col min="9" max="9" width="9.5703125" style="54" customWidth="1"/>
    <col min="10" max="10" width="15.140625" style="54" customWidth="1"/>
    <col min="11" max="11" width="12.7109375" style="54" customWidth="1"/>
    <col min="12" max="12" width="7.7109375" style="54" customWidth="1"/>
    <col min="13" max="13" width="7" style="54" customWidth="1"/>
    <col min="14" max="16384" width="8.7109375" style="54"/>
  </cols>
  <sheetData>
    <row r="2" spans="1:13" ht="15.75">
      <c r="A2" s="114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ht="15.7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</row>
    <row r="4" spans="1:13" ht="15.75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</row>
    <row r="5" spans="1:13" ht="15.75">
      <c r="A5" s="82" t="s">
        <v>0</v>
      </c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</row>
    <row r="6" spans="1:13" ht="15.75">
      <c r="A6" s="85" t="s">
        <v>1</v>
      </c>
      <c r="B6" s="85"/>
      <c r="C6" s="85" t="s">
        <v>5</v>
      </c>
      <c r="D6" s="85"/>
      <c r="E6" s="85" t="s">
        <v>2</v>
      </c>
      <c r="F6" s="85"/>
      <c r="G6" s="85" t="s">
        <v>3</v>
      </c>
      <c r="H6" s="85"/>
      <c r="I6" s="83"/>
      <c r="J6" s="85"/>
      <c r="K6" s="85"/>
      <c r="L6" s="85"/>
      <c r="M6" s="85"/>
    </row>
    <row r="7" spans="1:13" ht="15.75">
      <c r="A7" s="85" t="s">
        <v>4</v>
      </c>
      <c r="B7" s="85"/>
      <c r="C7" s="85" t="s">
        <v>5</v>
      </c>
      <c r="D7" s="85"/>
      <c r="E7" s="85" t="s">
        <v>6</v>
      </c>
      <c r="F7" s="85"/>
      <c r="G7" s="85" t="s">
        <v>5</v>
      </c>
      <c r="H7" s="85"/>
      <c r="I7" s="83"/>
      <c r="J7" s="85"/>
      <c r="K7" s="85"/>
      <c r="L7" s="85"/>
      <c r="M7" s="85"/>
    </row>
    <row r="8" spans="1:13" ht="15.75">
      <c r="A8" s="85" t="s">
        <v>7</v>
      </c>
      <c r="B8" s="85"/>
      <c r="C8" s="85" t="s">
        <v>5</v>
      </c>
      <c r="D8" s="85"/>
      <c r="E8" s="85" t="s">
        <v>8</v>
      </c>
      <c r="F8" s="85"/>
      <c r="G8" s="85" t="s">
        <v>5</v>
      </c>
      <c r="H8" s="85"/>
      <c r="I8" s="83"/>
      <c r="J8" s="85"/>
      <c r="K8" s="85"/>
      <c r="L8" s="85"/>
      <c r="M8" s="85"/>
    </row>
    <row r="9" spans="1:13" ht="15.75">
      <c r="A9" s="116" t="s">
        <v>9</v>
      </c>
      <c r="B9" s="117"/>
      <c r="C9" s="117"/>
      <c r="D9" s="117"/>
      <c r="E9" s="118"/>
      <c r="F9" s="119" t="s">
        <v>10</v>
      </c>
      <c r="G9" s="118"/>
      <c r="H9" s="120" t="s">
        <v>11</v>
      </c>
      <c r="I9" s="117"/>
      <c r="J9" s="117"/>
      <c r="K9" s="117"/>
      <c r="L9" s="117"/>
      <c r="M9" s="118"/>
    </row>
    <row r="10" spans="1:13" ht="47.25">
      <c r="A10" s="86" t="s">
        <v>12</v>
      </c>
      <c r="B10" s="86" t="s">
        <v>13</v>
      </c>
      <c r="C10" s="86" t="s">
        <v>14</v>
      </c>
      <c r="D10" s="86" t="s">
        <v>15</v>
      </c>
      <c r="E10" s="86" t="s">
        <v>16</v>
      </c>
      <c r="F10" s="87" t="s">
        <v>17</v>
      </c>
      <c r="G10" s="87" t="s">
        <v>18</v>
      </c>
      <c r="H10" s="88" t="s">
        <v>19</v>
      </c>
      <c r="I10" s="88" t="s">
        <v>20</v>
      </c>
      <c r="J10" s="88" t="s">
        <v>21</v>
      </c>
      <c r="K10" s="88" t="s">
        <v>22</v>
      </c>
      <c r="L10" s="88" t="s">
        <v>23</v>
      </c>
      <c r="M10" s="88" t="s">
        <v>24</v>
      </c>
    </row>
    <row r="11" spans="1:13" ht="15.75">
      <c r="A11" s="43">
        <v>1</v>
      </c>
      <c r="B11" s="44"/>
      <c r="C11" s="89" t="s">
        <v>191</v>
      </c>
      <c r="D11" s="52" t="s">
        <v>27</v>
      </c>
      <c r="E11" s="52">
        <v>2025</v>
      </c>
      <c r="F11" s="90">
        <f>(H11*20%)+(I11*10%)+(J11*10%)+(K11*10%)+(L11*20%)+(M11*30%)</f>
        <v>0</v>
      </c>
      <c r="G11" s="91" t="str">
        <f t="shared" ref="G11:G26" si="0">IF(F11&gt;=81,"A",IF(F11&gt;66,"B",IF(F11&gt;=56,"C",IF(F11&gt;=46,"D",IF(F11&lt;46,"E")))))</f>
        <v>E</v>
      </c>
      <c r="H11" s="92"/>
      <c r="I11" s="92"/>
      <c r="J11" s="92"/>
      <c r="K11" s="92"/>
      <c r="L11" s="93"/>
      <c r="M11" s="94"/>
    </row>
    <row r="12" spans="1:13" ht="15.75">
      <c r="A12" s="43">
        <v>2</v>
      </c>
      <c r="B12" s="44"/>
      <c r="C12" s="89" t="s">
        <v>192</v>
      </c>
      <c r="D12" s="52" t="s">
        <v>27</v>
      </c>
      <c r="E12" s="52">
        <v>2025</v>
      </c>
      <c r="F12" s="90">
        <f t="shared" ref="F12:F26" si="1">(H12*20%)+(I12*10%)+(J12*10%)+(K12*10%)+(L12*20%)+(M12*30%)</f>
        <v>0</v>
      </c>
      <c r="G12" s="91" t="str">
        <f t="shared" si="0"/>
        <v>E</v>
      </c>
      <c r="H12" s="92"/>
      <c r="I12" s="92"/>
      <c r="J12" s="92"/>
      <c r="K12" s="92"/>
      <c r="L12" s="93"/>
      <c r="M12" s="94"/>
    </row>
    <row r="13" spans="1:13" ht="15.75">
      <c r="A13" s="43">
        <v>3</v>
      </c>
      <c r="B13" s="44"/>
      <c r="C13" s="89" t="s">
        <v>193</v>
      </c>
      <c r="D13" s="52" t="s">
        <v>27</v>
      </c>
      <c r="E13" s="52">
        <v>2025</v>
      </c>
      <c r="F13" s="90">
        <f t="shared" si="1"/>
        <v>0</v>
      </c>
      <c r="G13" s="91" t="str">
        <f t="shared" si="0"/>
        <v>E</v>
      </c>
      <c r="H13" s="92"/>
      <c r="I13" s="92"/>
      <c r="J13" s="92"/>
      <c r="K13" s="92"/>
      <c r="L13" s="93"/>
      <c r="M13" s="94"/>
    </row>
    <row r="14" spans="1:13" ht="15.75">
      <c r="A14" s="43">
        <v>4</v>
      </c>
      <c r="B14" s="44"/>
      <c r="C14" s="89" t="s">
        <v>194</v>
      </c>
      <c r="D14" s="52" t="s">
        <v>27</v>
      </c>
      <c r="E14" s="52">
        <v>2025</v>
      </c>
      <c r="F14" s="90">
        <f t="shared" si="1"/>
        <v>0</v>
      </c>
      <c r="G14" s="91" t="str">
        <f t="shared" si="0"/>
        <v>E</v>
      </c>
      <c r="H14" s="92"/>
      <c r="I14" s="92"/>
      <c r="J14" s="92"/>
      <c r="K14" s="92"/>
      <c r="L14" s="93"/>
      <c r="M14" s="94"/>
    </row>
    <row r="15" spans="1:13" ht="15.75">
      <c r="A15" s="43">
        <v>5</v>
      </c>
      <c r="B15" s="44"/>
      <c r="C15" s="89" t="s">
        <v>195</v>
      </c>
      <c r="D15" s="52" t="s">
        <v>27</v>
      </c>
      <c r="E15" s="52">
        <v>2025</v>
      </c>
      <c r="F15" s="90">
        <f t="shared" si="1"/>
        <v>0</v>
      </c>
      <c r="G15" s="91" t="str">
        <f t="shared" si="0"/>
        <v>E</v>
      </c>
      <c r="H15" s="92"/>
      <c r="I15" s="92"/>
      <c r="J15" s="92"/>
      <c r="K15" s="92"/>
      <c r="L15" s="93"/>
      <c r="M15" s="94"/>
    </row>
    <row r="16" spans="1:13" ht="15.75">
      <c r="A16" s="43">
        <v>6</v>
      </c>
      <c r="B16" s="44"/>
      <c r="C16" s="89" t="s">
        <v>196</v>
      </c>
      <c r="D16" s="52" t="s">
        <v>27</v>
      </c>
      <c r="E16" s="52">
        <v>2025</v>
      </c>
      <c r="F16" s="90">
        <f t="shared" si="1"/>
        <v>0</v>
      </c>
      <c r="G16" s="91" t="str">
        <f t="shared" si="0"/>
        <v>E</v>
      </c>
      <c r="H16" s="92"/>
      <c r="I16" s="92"/>
      <c r="J16" s="92"/>
      <c r="K16" s="92"/>
      <c r="L16" s="93"/>
      <c r="M16" s="94"/>
    </row>
    <row r="17" spans="1:13" ht="15.75">
      <c r="A17" s="43">
        <v>7</v>
      </c>
      <c r="B17" s="44"/>
      <c r="C17" s="89" t="s">
        <v>197</v>
      </c>
      <c r="D17" s="52" t="s">
        <v>27</v>
      </c>
      <c r="E17" s="52">
        <v>2025</v>
      </c>
      <c r="F17" s="90">
        <f t="shared" si="1"/>
        <v>0</v>
      </c>
      <c r="G17" s="91" t="str">
        <f t="shared" si="0"/>
        <v>E</v>
      </c>
      <c r="H17" s="92"/>
      <c r="I17" s="92"/>
      <c r="J17" s="92"/>
      <c r="K17" s="92"/>
      <c r="L17" s="93"/>
      <c r="M17" s="94"/>
    </row>
    <row r="18" spans="1:13" ht="15.75">
      <c r="A18" s="43">
        <v>8</v>
      </c>
      <c r="B18" s="44"/>
      <c r="C18" s="89" t="s">
        <v>198</v>
      </c>
      <c r="D18" s="52" t="s">
        <v>27</v>
      </c>
      <c r="E18" s="52">
        <v>2025</v>
      </c>
      <c r="F18" s="90">
        <f t="shared" si="1"/>
        <v>0</v>
      </c>
      <c r="G18" s="91" t="str">
        <f t="shared" si="0"/>
        <v>E</v>
      </c>
      <c r="H18" s="92"/>
      <c r="I18" s="92"/>
      <c r="J18" s="92"/>
      <c r="K18" s="92"/>
      <c r="L18" s="93"/>
      <c r="M18" s="94"/>
    </row>
    <row r="19" spans="1:13" ht="15.75">
      <c r="A19" s="43">
        <v>9</v>
      </c>
      <c r="B19" s="44"/>
      <c r="C19" s="89" t="s">
        <v>199</v>
      </c>
      <c r="D19" s="52" t="s">
        <v>27</v>
      </c>
      <c r="E19" s="52">
        <v>2025</v>
      </c>
      <c r="F19" s="90">
        <f t="shared" si="1"/>
        <v>0</v>
      </c>
      <c r="G19" s="91" t="str">
        <f t="shared" si="0"/>
        <v>E</v>
      </c>
      <c r="H19" s="94"/>
      <c r="I19" s="94"/>
      <c r="J19" s="94"/>
      <c r="K19" s="94"/>
      <c r="L19" s="95"/>
      <c r="M19" s="94"/>
    </row>
    <row r="20" spans="1:13" ht="15.75">
      <c r="A20" s="43">
        <v>10</v>
      </c>
      <c r="B20" s="44"/>
      <c r="C20" s="89" t="s">
        <v>200</v>
      </c>
      <c r="D20" s="52" t="s">
        <v>27</v>
      </c>
      <c r="E20" s="52">
        <v>2025</v>
      </c>
      <c r="F20" s="90">
        <f t="shared" si="1"/>
        <v>0</v>
      </c>
      <c r="G20" s="91" t="str">
        <f t="shared" si="0"/>
        <v>E</v>
      </c>
      <c r="H20" s="92"/>
      <c r="I20" s="92"/>
      <c r="J20" s="92"/>
      <c r="K20" s="92"/>
      <c r="L20" s="93"/>
      <c r="M20" s="94"/>
    </row>
    <row r="21" spans="1:13" ht="15.75">
      <c r="A21" s="43">
        <v>11</v>
      </c>
      <c r="B21" s="44"/>
      <c r="C21" s="89" t="s">
        <v>201</v>
      </c>
      <c r="D21" s="52" t="s">
        <v>27</v>
      </c>
      <c r="E21" s="52">
        <v>2025</v>
      </c>
      <c r="F21" s="90">
        <f t="shared" si="1"/>
        <v>0</v>
      </c>
      <c r="G21" s="91" t="str">
        <f t="shared" si="0"/>
        <v>E</v>
      </c>
      <c r="H21" s="92"/>
      <c r="I21" s="92"/>
      <c r="J21" s="92"/>
      <c r="K21" s="92"/>
      <c r="L21" s="93"/>
      <c r="M21" s="94"/>
    </row>
    <row r="22" spans="1:13" ht="15.75">
      <c r="A22" s="43">
        <v>12</v>
      </c>
      <c r="B22" s="44"/>
      <c r="C22" s="89" t="s">
        <v>202</v>
      </c>
      <c r="D22" s="52" t="s">
        <v>27</v>
      </c>
      <c r="E22" s="52">
        <v>2025</v>
      </c>
      <c r="F22" s="90">
        <f t="shared" si="1"/>
        <v>0</v>
      </c>
      <c r="G22" s="91" t="str">
        <f t="shared" si="0"/>
        <v>E</v>
      </c>
      <c r="H22" s="92"/>
      <c r="I22" s="92"/>
      <c r="J22" s="92"/>
      <c r="K22" s="92"/>
      <c r="L22" s="93"/>
      <c r="M22" s="94"/>
    </row>
    <row r="23" spans="1:13" ht="15.75">
      <c r="A23" s="43">
        <v>13</v>
      </c>
      <c r="B23" s="44"/>
      <c r="C23" s="96" t="s">
        <v>203</v>
      </c>
      <c r="D23" s="52" t="s">
        <v>27</v>
      </c>
      <c r="E23" s="52">
        <v>2025</v>
      </c>
      <c r="F23" s="90">
        <f t="shared" si="1"/>
        <v>0</v>
      </c>
      <c r="G23" s="91" t="str">
        <f t="shared" si="0"/>
        <v>E</v>
      </c>
      <c r="H23" s="92"/>
      <c r="I23" s="92"/>
      <c r="J23" s="92"/>
      <c r="K23" s="92"/>
      <c r="L23" s="93"/>
      <c r="M23" s="94"/>
    </row>
    <row r="24" spans="1:13" ht="15.75">
      <c r="A24" s="43">
        <v>14</v>
      </c>
      <c r="B24" s="44"/>
      <c r="C24" s="89" t="s">
        <v>204</v>
      </c>
      <c r="D24" s="52" t="s">
        <v>27</v>
      </c>
      <c r="E24" s="52">
        <v>2025</v>
      </c>
      <c r="F24" s="90">
        <f t="shared" si="1"/>
        <v>0</v>
      </c>
      <c r="G24" s="91" t="str">
        <f t="shared" si="0"/>
        <v>E</v>
      </c>
      <c r="H24" s="92"/>
      <c r="I24" s="92"/>
      <c r="J24" s="92"/>
      <c r="K24" s="92"/>
      <c r="L24" s="93"/>
      <c r="M24" s="94"/>
    </row>
    <row r="25" spans="1:13" ht="15.75">
      <c r="A25" s="43">
        <v>15</v>
      </c>
      <c r="B25" s="44"/>
      <c r="C25" s="89" t="s">
        <v>205</v>
      </c>
      <c r="D25" s="52" t="s">
        <v>27</v>
      </c>
      <c r="E25" s="52">
        <v>2025</v>
      </c>
      <c r="F25" s="90">
        <f t="shared" si="1"/>
        <v>0</v>
      </c>
      <c r="G25" s="91" t="str">
        <f t="shared" si="0"/>
        <v>E</v>
      </c>
      <c r="H25" s="92"/>
      <c r="I25" s="92"/>
      <c r="J25" s="92"/>
      <c r="K25" s="92"/>
      <c r="L25" s="93"/>
      <c r="M25" s="94"/>
    </row>
    <row r="26" spans="1:13" ht="15.75">
      <c r="A26" s="43">
        <v>16</v>
      </c>
      <c r="B26" s="44"/>
      <c r="C26" s="96" t="s">
        <v>206</v>
      </c>
      <c r="D26" s="52" t="s">
        <v>27</v>
      </c>
      <c r="E26" s="52">
        <v>2025</v>
      </c>
      <c r="F26" s="90">
        <f t="shared" si="1"/>
        <v>0</v>
      </c>
      <c r="G26" s="91" t="str">
        <f t="shared" si="0"/>
        <v>E</v>
      </c>
      <c r="H26" s="92"/>
      <c r="I26" s="92"/>
      <c r="J26" s="92"/>
      <c r="K26" s="92"/>
      <c r="L26" s="93"/>
      <c r="M26" s="94"/>
    </row>
    <row r="27" spans="1:13" ht="15.75">
      <c r="A27" s="97"/>
      <c r="B27" s="97"/>
      <c r="C27" s="83"/>
      <c r="D27" s="97"/>
      <c r="E27" s="97"/>
      <c r="F27" s="97"/>
      <c r="G27" s="97"/>
      <c r="H27" s="98"/>
      <c r="I27" s="98"/>
      <c r="J27" s="98"/>
      <c r="K27" s="98"/>
      <c r="L27" s="98"/>
      <c r="M27" s="98"/>
    </row>
    <row r="28" spans="1:13" ht="15.75">
      <c r="A28" s="85" t="s">
        <v>50</v>
      </c>
      <c r="B28" s="83"/>
      <c r="C28" s="83"/>
      <c r="D28" s="83"/>
      <c r="E28" s="83"/>
      <c r="F28" s="97"/>
      <c r="G28" s="97"/>
      <c r="H28" s="83"/>
      <c r="I28" s="97"/>
      <c r="J28" s="83"/>
      <c r="K28" s="83"/>
      <c r="L28" s="83"/>
      <c r="M28" s="98"/>
    </row>
    <row r="29" spans="1:13" ht="15.75">
      <c r="A29" s="99" t="s">
        <v>12</v>
      </c>
      <c r="B29" s="99" t="s">
        <v>51</v>
      </c>
      <c r="C29" s="99" t="s">
        <v>18</v>
      </c>
      <c r="D29" s="99" t="s">
        <v>52</v>
      </c>
      <c r="E29" s="97"/>
      <c r="F29" s="97"/>
      <c r="G29" s="83"/>
      <c r="H29" s="100"/>
      <c r="I29" s="97"/>
      <c r="J29" s="83"/>
      <c r="K29" s="83"/>
      <c r="L29" s="98"/>
      <c r="M29" s="101"/>
    </row>
    <row r="30" spans="1:13" ht="31.5">
      <c r="A30" s="52">
        <v>1</v>
      </c>
      <c r="B30" s="52" t="s">
        <v>53</v>
      </c>
      <c r="C30" s="52" t="s">
        <v>54</v>
      </c>
      <c r="D30" s="102" t="s">
        <v>55</v>
      </c>
      <c r="E30" s="97"/>
      <c r="F30" s="97"/>
      <c r="G30" s="83"/>
      <c r="H30" s="100"/>
      <c r="I30" s="83"/>
      <c r="J30" s="83"/>
      <c r="K30" s="83"/>
      <c r="L30" s="98"/>
      <c r="M30" s="101"/>
    </row>
    <row r="31" spans="1:13" ht="15.75">
      <c r="A31" s="52">
        <v>3</v>
      </c>
      <c r="B31" s="52" t="s">
        <v>56</v>
      </c>
      <c r="C31" s="52" t="s">
        <v>57</v>
      </c>
      <c r="D31" s="52" t="s">
        <v>58</v>
      </c>
      <c r="E31" s="97"/>
      <c r="F31" s="97"/>
      <c r="G31" s="83"/>
      <c r="H31" s="100"/>
      <c r="I31" s="83"/>
      <c r="J31" s="83"/>
      <c r="K31" s="83"/>
      <c r="L31" s="98"/>
      <c r="M31" s="101"/>
    </row>
    <row r="32" spans="1:13" ht="15.75">
      <c r="A32" s="52">
        <v>5</v>
      </c>
      <c r="B32" s="52" t="s">
        <v>59</v>
      </c>
      <c r="C32" s="52" t="s">
        <v>60</v>
      </c>
      <c r="D32" s="52" t="s">
        <v>61</v>
      </c>
      <c r="E32" s="97"/>
      <c r="F32" s="97"/>
      <c r="G32" s="83"/>
      <c r="H32" s="83"/>
      <c r="I32" s="83"/>
      <c r="J32" s="83"/>
      <c r="K32" s="83"/>
      <c r="L32" s="98"/>
      <c r="M32" s="101"/>
    </row>
    <row r="33" spans="1:13" ht="15.75">
      <c r="A33" s="52">
        <v>7</v>
      </c>
      <c r="B33" s="52" t="s">
        <v>62</v>
      </c>
      <c r="C33" s="52" t="s">
        <v>63</v>
      </c>
      <c r="D33" s="52" t="s">
        <v>64</v>
      </c>
      <c r="E33" s="97"/>
      <c r="F33" s="97"/>
      <c r="G33" s="98"/>
      <c r="H33" s="98"/>
      <c r="I33" s="81"/>
      <c r="J33" s="98"/>
      <c r="K33" s="98"/>
      <c r="L33" s="98"/>
      <c r="M33" s="101"/>
    </row>
    <row r="34" spans="1:13" ht="15.75">
      <c r="A34" s="52">
        <v>9</v>
      </c>
      <c r="B34" s="52" t="s">
        <v>65</v>
      </c>
      <c r="C34" s="52" t="s">
        <v>66</v>
      </c>
      <c r="D34" s="52" t="s">
        <v>67</v>
      </c>
      <c r="E34" s="97"/>
      <c r="F34" s="97"/>
      <c r="G34" s="98"/>
      <c r="H34" s="98"/>
      <c r="I34" s="81"/>
      <c r="J34" s="98"/>
      <c r="K34" s="98"/>
      <c r="L34" s="98"/>
      <c r="M34" s="101"/>
    </row>
    <row r="35" spans="1:13" ht="15.75">
      <c r="A35" s="97"/>
      <c r="B35" s="97"/>
      <c r="C35" s="83"/>
      <c r="D35" s="97"/>
      <c r="E35" s="97"/>
      <c r="F35" s="97"/>
      <c r="G35" s="97"/>
      <c r="H35" s="98"/>
      <c r="I35" s="98"/>
      <c r="J35" s="98"/>
      <c r="K35" s="98"/>
      <c r="L35" s="98"/>
      <c r="M35" s="98"/>
    </row>
  </sheetData>
  <mergeCells count="5">
    <mergeCell ref="A2:M2"/>
    <mergeCell ref="A3:M3"/>
    <mergeCell ref="A9:E9"/>
    <mergeCell ref="F9:G9"/>
    <mergeCell ref="H9:M9"/>
  </mergeCells>
  <dataValidations count="1">
    <dataValidation allowBlank="1" showInputMessage="1" showErrorMessage="1" promptTitle="Keterangan :" prompt="Nilai = AP 10%+HP 15%+KPQ 10%+KPT 15%+KP UTS 25%+KP UAS 25%" sqref="L11:L26" xr:uid="{67137C6F-6085-46D3-899F-989BC3FF4353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6202-3CEE-4B56-8787-7F28E96251F2}">
  <dimension ref="A2:M25"/>
  <sheetViews>
    <sheetView topLeftCell="A8" workbookViewId="0">
      <selection activeCell="G21" sqref="G21"/>
    </sheetView>
  </sheetViews>
  <sheetFormatPr defaultColWidth="8.7109375" defaultRowHeight="15.75"/>
  <cols>
    <col min="1" max="1" width="8.7109375" style="83"/>
    <col min="2" max="2" width="11.42578125" style="83" customWidth="1"/>
    <col min="3" max="3" width="23.28515625" style="83" customWidth="1"/>
    <col min="4" max="4" width="18.42578125" style="83" customWidth="1"/>
    <col min="5" max="5" width="11.85546875" style="83" customWidth="1"/>
    <col min="6" max="7" width="8.7109375" style="83"/>
    <col min="8" max="8" width="15.5703125" style="83" customWidth="1"/>
    <col min="9" max="9" width="11.28515625" style="83" customWidth="1"/>
    <col min="10" max="10" width="17.7109375" style="83" customWidth="1"/>
    <col min="11" max="11" width="14.140625" style="83" customWidth="1"/>
    <col min="12" max="12" width="7.85546875" style="83" customWidth="1"/>
    <col min="13" max="13" width="7.7109375" style="83" customWidth="1"/>
    <col min="14" max="16384" width="8.7109375" style="83"/>
  </cols>
  <sheetData>
    <row r="2" spans="1:13">
      <c r="A2" s="114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</row>
    <row r="3" spans="1:13">
      <c r="A3" s="114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</row>
    <row r="4" spans="1:13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</row>
    <row r="5" spans="1:13">
      <c r="A5" s="82" t="s">
        <v>0</v>
      </c>
      <c r="B5" s="85"/>
      <c r="C5" s="84"/>
      <c r="D5" s="84"/>
      <c r="E5" s="84"/>
      <c r="F5" s="84"/>
      <c r="G5" s="84"/>
      <c r="H5" s="84"/>
      <c r="I5" s="84"/>
      <c r="J5" s="84"/>
      <c r="K5" s="103"/>
      <c r="L5" s="103"/>
      <c r="M5" s="103"/>
    </row>
    <row r="6" spans="1:13">
      <c r="A6" s="85" t="s">
        <v>1</v>
      </c>
      <c r="B6" s="85"/>
      <c r="C6" s="85" t="s">
        <v>5</v>
      </c>
      <c r="D6" s="85"/>
      <c r="E6" s="85" t="s">
        <v>2</v>
      </c>
      <c r="F6" s="85"/>
      <c r="G6" s="85" t="s">
        <v>132</v>
      </c>
      <c r="H6" s="85"/>
      <c r="I6" s="85"/>
      <c r="J6" s="85"/>
    </row>
    <row r="7" spans="1:13">
      <c r="A7" s="85" t="s">
        <v>4</v>
      </c>
      <c r="B7" s="85"/>
      <c r="C7" s="85" t="s">
        <v>133</v>
      </c>
      <c r="D7" s="85"/>
      <c r="E7" s="85" t="s">
        <v>6</v>
      </c>
      <c r="F7" s="85"/>
      <c r="G7" s="85" t="s">
        <v>5</v>
      </c>
      <c r="H7" s="85"/>
      <c r="I7" s="85"/>
      <c r="J7" s="85"/>
    </row>
    <row r="8" spans="1:13">
      <c r="A8" s="85" t="s">
        <v>7</v>
      </c>
      <c r="B8" s="85"/>
      <c r="C8" s="85" t="s">
        <v>5</v>
      </c>
      <c r="D8" s="85"/>
      <c r="E8" s="85" t="s">
        <v>8</v>
      </c>
      <c r="F8" s="85"/>
      <c r="G8" s="85" t="s">
        <v>5</v>
      </c>
      <c r="H8" s="85"/>
      <c r="I8" s="85"/>
      <c r="J8" s="85"/>
    </row>
    <row r="9" spans="1:13">
      <c r="A9" s="116" t="s">
        <v>9</v>
      </c>
      <c r="B9" s="122"/>
      <c r="C9" s="122"/>
      <c r="D9" s="122"/>
      <c r="E9" s="123"/>
      <c r="F9" s="124" t="s">
        <v>10</v>
      </c>
      <c r="G9" s="123"/>
      <c r="H9" s="120" t="s">
        <v>11</v>
      </c>
      <c r="I9" s="122"/>
      <c r="J9" s="122"/>
      <c r="K9" s="122"/>
      <c r="L9" s="122"/>
      <c r="M9" s="123"/>
    </row>
    <row r="10" spans="1:13" ht="31.5">
      <c r="A10" s="86" t="s">
        <v>12</v>
      </c>
      <c r="B10" s="86" t="s">
        <v>13</v>
      </c>
      <c r="C10" s="86" t="s">
        <v>14</v>
      </c>
      <c r="D10" s="86" t="s">
        <v>15</v>
      </c>
      <c r="E10" s="86" t="s">
        <v>16</v>
      </c>
      <c r="F10" s="104" t="s">
        <v>17</v>
      </c>
      <c r="G10" s="104" t="s">
        <v>18</v>
      </c>
      <c r="H10" s="105" t="s">
        <v>19</v>
      </c>
      <c r="I10" s="88" t="s">
        <v>20</v>
      </c>
      <c r="J10" s="105" t="s">
        <v>21</v>
      </c>
      <c r="K10" s="105" t="s">
        <v>22</v>
      </c>
      <c r="L10" s="88" t="s">
        <v>23</v>
      </c>
      <c r="M10" s="105" t="s">
        <v>24</v>
      </c>
    </row>
    <row r="11" spans="1:13">
      <c r="A11" s="43" t="s">
        <v>25</v>
      </c>
      <c r="B11" s="44"/>
      <c r="C11" s="45" t="s">
        <v>212</v>
      </c>
      <c r="D11" s="46" t="s">
        <v>135</v>
      </c>
      <c r="E11" s="46">
        <v>2025</v>
      </c>
      <c r="F11" s="47">
        <f>(H11*20%)+(I11*10%)+(J11*10%)+(K11*10%)+(L11*20%)+(M11*30%)</f>
        <v>0</v>
      </c>
      <c r="G11" s="48" t="str">
        <f>IF(F11&gt;=81,"A",IF(F11&gt;66,"B",IF(F11&gt;=56,"C",IF(F11&gt;=46,"D",IF(F11&lt;46,"E")))))</f>
        <v>E</v>
      </c>
      <c r="H11" s="108"/>
      <c r="I11" s="49"/>
      <c r="J11" s="108"/>
      <c r="K11" s="108"/>
      <c r="L11" s="109"/>
      <c r="M11" s="108"/>
    </row>
    <row r="12" spans="1:13">
      <c r="A12" s="43" t="s">
        <v>28</v>
      </c>
      <c r="B12" s="44"/>
      <c r="C12" s="107" t="s">
        <v>207</v>
      </c>
      <c r="D12" s="46" t="s">
        <v>135</v>
      </c>
      <c r="E12" s="52">
        <v>2025</v>
      </c>
      <c r="F12" s="47">
        <f t="shared" ref="F12:F16" si="0">(H12*20%)+(I12*10%)+(J12*10%)+(K12*10%)+(L12*20%)+(M12*30%)</f>
        <v>0</v>
      </c>
      <c r="G12" s="48" t="str">
        <f t="shared" ref="G12:G16" si="1">IF(F12&gt;=81,"A",IF(F12&gt;66,"B",IF(F12&gt;=56,"C",IF(F12&gt;=46,"D",IF(F12&lt;46,"E")))))</f>
        <v>E</v>
      </c>
      <c r="H12" s="108"/>
      <c r="I12" s="53"/>
      <c r="J12" s="108"/>
      <c r="K12" s="108"/>
      <c r="L12" s="109"/>
      <c r="M12" s="108"/>
    </row>
    <row r="13" spans="1:13">
      <c r="A13" s="43" t="s">
        <v>30</v>
      </c>
      <c r="B13" s="44"/>
      <c r="C13" s="107" t="s">
        <v>209</v>
      </c>
      <c r="D13" s="46" t="s">
        <v>135</v>
      </c>
      <c r="E13" s="46">
        <v>2025</v>
      </c>
      <c r="F13" s="47">
        <f t="shared" si="0"/>
        <v>0</v>
      </c>
      <c r="G13" s="48" t="str">
        <f t="shared" si="1"/>
        <v>E</v>
      </c>
      <c r="H13" s="108"/>
      <c r="I13" s="53"/>
      <c r="J13" s="108"/>
      <c r="K13" s="108"/>
      <c r="L13" s="109"/>
      <c r="M13" s="108"/>
    </row>
    <row r="14" spans="1:13">
      <c r="A14" s="43" t="s">
        <v>32</v>
      </c>
      <c r="B14" s="44"/>
      <c r="C14" s="107" t="s">
        <v>208</v>
      </c>
      <c r="D14" s="46" t="s">
        <v>135</v>
      </c>
      <c r="E14" s="52">
        <v>2025</v>
      </c>
      <c r="F14" s="47">
        <f t="shared" si="0"/>
        <v>0</v>
      </c>
      <c r="G14" s="48" t="str">
        <f t="shared" si="1"/>
        <v>E</v>
      </c>
      <c r="H14" s="108"/>
      <c r="I14" s="53"/>
      <c r="J14" s="108"/>
      <c r="K14" s="108"/>
      <c r="L14" s="109"/>
      <c r="M14" s="108"/>
    </row>
    <row r="15" spans="1:13">
      <c r="A15" s="43" t="s">
        <v>34</v>
      </c>
      <c r="B15" s="44"/>
      <c r="C15" s="107" t="s">
        <v>210</v>
      </c>
      <c r="D15" s="46" t="s">
        <v>135</v>
      </c>
      <c r="E15" s="46">
        <v>2025</v>
      </c>
      <c r="F15" s="47">
        <f t="shared" si="0"/>
        <v>0</v>
      </c>
      <c r="G15" s="48" t="str">
        <f t="shared" si="1"/>
        <v>E</v>
      </c>
      <c r="H15" s="108"/>
      <c r="I15" s="53"/>
      <c r="J15" s="108"/>
      <c r="K15" s="108"/>
      <c r="L15" s="109"/>
      <c r="M15" s="108"/>
    </row>
    <row r="16" spans="1:13">
      <c r="A16" s="43" t="s">
        <v>36</v>
      </c>
      <c r="B16" s="44"/>
      <c r="C16" s="107" t="s">
        <v>211</v>
      </c>
      <c r="D16" s="46" t="s">
        <v>135</v>
      </c>
      <c r="E16" s="52">
        <v>2025</v>
      </c>
      <c r="F16" s="47">
        <f t="shared" si="0"/>
        <v>0</v>
      </c>
      <c r="G16" s="48" t="str">
        <f t="shared" si="1"/>
        <v>E</v>
      </c>
      <c r="H16" s="108"/>
      <c r="I16" s="53"/>
      <c r="J16" s="108"/>
      <c r="K16" s="108"/>
      <c r="L16" s="109"/>
      <c r="M16" s="108"/>
    </row>
    <row r="18" spans="1:13">
      <c r="A18" s="97"/>
      <c r="B18" s="97"/>
      <c r="D18" s="97"/>
      <c r="E18" s="97"/>
      <c r="F18" s="97"/>
      <c r="G18" s="97"/>
      <c r="H18" s="98"/>
      <c r="I18" s="98"/>
      <c r="J18" s="98"/>
      <c r="K18" s="98"/>
      <c r="L18" s="98"/>
      <c r="M18" s="98"/>
    </row>
    <row r="19" spans="1:13">
      <c r="A19" s="85" t="s">
        <v>50</v>
      </c>
      <c r="F19" s="97"/>
      <c r="G19" s="97"/>
      <c r="I19" s="97"/>
      <c r="M19" s="98"/>
    </row>
    <row r="20" spans="1:13">
      <c r="A20" s="99" t="s">
        <v>12</v>
      </c>
      <c r="B20" s="99" t="s">
        <v>51</v>
      </c>
      <c r="C20" s="99" t="s">
        <v>18</v>
      </c>
      <c r="D20" s="99" t="s">
        <v>52</v>
      </c>
      <c r="E20" s="97"/>
      <c r="F20" s="97"/>
      <c r="H20" s="100"/>
      <c r="I20" s="97"/>
      <c r="L20" s="98"/>
      <c r="M20" s="101"/>
    </row>
    <row r="21" spans="1:13">
      <c r="A21" s="52">
        <v>1</v>
      </c>
      <c r="B21" s="52" t="s">
        <v>53</v>
      </c>
      <c r="C21" s="52" t="s">
        <v>54</v>
      </c>
      <c r="D21" s="102" t="s">
        <v>55</v>
      </c>
      <c r="E21" s="97"/>
      <c r="F21" s="97"/>
      <c r="H21" s="100"/>
      <c r="L21" s="98"/>
      <c r="M21" s="101"/>
    </row>
    <row r="22" spans="1:13">
      <c r="A22" s="52">
        <v>3</v>
      </c>
      <c r="B22" s="52" t="s">
        <v>56</v>
      </c>
      <c r="C22" s="52" t="s">
        <v>57</v>
      </c>
      <c r="D22" s="52" t="s">
        <v>58</v>
      </c>
      <c r="E22" s="97"/>
      <c r="F22" s="97"/>
      <c r="H22" s="100"/>
      <c r="L22" s="98"/>
      <c r="M22" s="101"/>
    </row>
    <row r="23" spans="1:13">
      <c r="A23" s="52">
        <v>5</v>
      </c>
      <c r="B23" s="52" t="s">
        <v>59</v>
      </c>
      <c r="C23" s="52" t="s">
        <v>60</v>
      </c>
      <c r="D23" s="52" t="s">
        <v>61</v>
      </c>
      <c r="E23" s="97"/>
      <c r="F23" s="97"/>
      <c r="L23" s="98"/>
      <c r="M23" s="101"/>
    </row>
    <row r="24" spans="1:13">
      <c r="A24" s="52">
        <v>7</v>
      </c>
      <c r="B24" s="52" t="s">
        <v>62</v>
      </c>
      <c r="C24" s="52" t="s">
        <v>63</v>
      </c>
      <c r="D24" s="52" t="s">
        <v>64</v>
      </c>
      <c r="E24" s="97"/>
      <c r="F24" s="97"/>
      <c r="G24" s="98"/>
      <c r="H24" s="98"/>
      <c r="I24" s="81"/>
      <c r="J24" s="98"/>
      <c r="K24" s="98"/>
      <c r="L24" s="98"/>
      <c r="M24" s="101"/>
    </row>
    <row r="25" spans="1:13">
      <c r="A25" s="52">
        <v>9</v>
      </c>
      <c r="B25" s="52" t="s">
        <v>65</v>
      </c>
      <c r="C25" s="52" t="s">
        <v>66</v>
      </c>
      <c r="D25" s="52" t="s">
        <v>67</v>
      </c>
      <c r="E25" s="97"/>
      <c r="F25" s="97"/>
      <c r="G25" s="98"/>
      <c r="H25" s="98"/>
      <c r="I25" s="81"/>
      <c r="J25" s="98"/>
      <c r="K25" s="98"/>
      <c r="L25" s="98"/>
      <c r="M25" s="101"/>
    </row>
  </sheetData>
  <sortState xmlns:xlrd2="http://schemas.microsoft.com/office/spreadsheetml/2017/richdata2" ref="C11:C16">
    <sortCondition ref="C11:C16"/>
  </sortState>
  <mergeCells count="5">
    <mergeCell ref="A2:M2"/>
    <mergeCell ref="A3:M3"/>
    <mergeCell ref="A9:E9"/>
    <mergeCell ref="F9:G9"/>
    <mergeCell ref="H9:M9"/>
  </mergeCells>
  <dataValidations count="1">
    <dataValidation allowBlank="1" showInputMessage="1" showErrorMessage="1" promptTitle="Keterangan :" prompt="Nilai = AP 10%+HP 15%+KPQ 10%+KPT 15%+KP UTS 25%+KP UAS 25%" sqref="L11:L16" xr:uid="{FD2D3B69-2D89-41AC-837D-5FE71822EC54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08E0-E904-4ED0-97C7-2CC8CA64B6B2}">
  <dimension ref="A2:M49"/>
  <sheetViews>
    <sheetView topLeftCell="B12" workbookViewId="0">
      <selection activeCell="E45" sqref="E45"/>
    </sheetView>
  </sheetViews>
  <sheetFormatPr defaultColWidth="8.7109375" defaultRowHeight="15"/>
  <cols>
    <col min="1" max="1" width="3.85546875" style="54" customWidth="1"/>
    <col min="2" max="2" width="12.7109375" style="54" customWidth="1"/>
    <col min="3" max="3" width="26.140625" style="54" customWidth="1"/>
    <col min="4" max="4" width="16.140625" style="54" customWidth="1"/>
    <col min="5" max="5" width="13.140625" style="54" customWidth="1"/>
    <col min="6" max="6" width="9.28515625" style="54" bestFit="1" customWidth="1"/>
    <col min="7" max="7" width="18.85546875" style="54" bestFit="1" customWidth="1"/>
    <col min="8" max="8" width="15.42578125" style="54" customWidth="1"/>
    <col min="9" max="9" width="10.7109375" style="54" customWidth="1"/>
    <col min="10" max="10" width="17.140625" style="54" customWidth="1"/>
    <col min="11" max="11" width="14.85546875" style="54" customWidth="1"/>
    <col min="12" max="12" width="7.7109375" style="54" customWidth="1"/>
    <col min="13" max="13" width="7" style="54" customWidth="1"/>
    <col min="14" max="16384" width="8.7109375" style="54"/>
  </cols>
  <sheetData>
    <row r="2" spans="1:13" ht="15.75">
      <c r="A2" s="114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ht="15.7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</row>
    <row r="4" spans="1:13" ht="15.75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</row>
    <row r="5" spans="1:13" ht="15.75">
      <c r="A5" s="82" t="s">
        <v>0</v>
      </c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</row>
    <row r="6" spans="1:13" ht="15.75">
      <c r="A6" s="85" t="s">
        <v>1</v>
      </c>
      <c r="B6" s="85"/>
      <c r="C6" s="85" t="s">
        <v>5</v>
      </c>
      <c r="D6" s="85"/>
      <c r="E6" s="85" t="s">
        <v>2</v>
      </c>
      <c r="F6" s="85"/>
      <c r="G6" s="85" t="s">
        <v>3</v>
      </c>
      <c r="H6" s="85"/>
      <c r="I6" s="83"/>
      <c r="J6" s="85"/>
      <c r="K6" s="85"/>
      <c r="L6" s="85"/>
      <c r="M6" s="85"/>
    </row>
    <row r="7" spans="1:13" ht="15.75">
      <c r="A7" s="85" t="s">
        <v>4</v>
      </c>
      <c r="B7" s="85"/>
      <c r="C7" s="85" t="s">
        <v>5</v>
      </c>
      <c r="D7" s="85"/>
      <c r="E7" s="85" t="s">
        <v>6</v>
      </c>
      <c r="F7" s="85"/>
      <c r="G7" s="85" t="s">
        <v>5</v>
      </c>
      <c r="H7" s="85"/>
      <c r="I7" s="83"/>
      <c r="J7" s="85"/>
      <c r="K7" s="85"/>
      <c r="L7" s="85"/>
      <c r="M7" s="85"/>
    </row>
    <row r="8" spans="1:13" ht="15.75">
      <c r="A8" s="85" t="s">
        <v>7</v>
      </c>
      <c r="B8" s="85"/>
      <c r="C8" s="85" t="s">
        <v>5</v>
      </c>
      <c r="D8" s="85"/>
      <c r="E8" s="85" t="s">
        <v>8</v>
      </c>
      <c r="F8" s="85"/>
      <c r="G8" s="85" t="s">
        <v>5</v>
      </c>
      <c r="H8" s="85"/>
      <c r="I8" s="83"/>
      <c r="J8" s="85"/>
      <c r="K8" s="85"/>
      <c r="L8" s="85"/>
      <c r="M8" s="85"/>
    </row>
    <row r="9" spans="1:13" ht="15.75">
      <c r="A9" s="116" t="s">
        <v>9</v>
      </c>
      <c r="B9" s="117"/>
      <c r="C9" s="117"/>
      <c r="D9" s="117"/>
      <c r="E9" s="118"/>
      <c r="F9" s="119" t="s">
        <v>10</v>
      </c>
      <c r="G9" s="118"/>
      <c r="H9" s="120" t="s">
        <v>11</v>
      </c>
      <c r="I9" s="117"/>
      <c r="J9" s="117"/>
      <c r="K9" s="117"/>
      <c r="L9" s="117"/>
      <c r="M9" s="118"/>
    </row>
    <row r="10" spans="1:13" ht="47.25">
      <c r="A10" s="86" t="s">
        <v>12</v>
      </c>
      <c r="B10" s="86" t="s">
        <v>13</v>
      </c>
      <c r="C10" s="86" t="s">
        <v>14</v>
      </c>
      <c r="D10" s="86" t="s">
        <v>15</v>
      </c>
      <c r="E10" s="86" t="s">
        <v>16</v>
      </c>
      <c r="F10" s="87" t="s">
        <v>17</v>
      </c>
      <c r="G10" s="87" t="s">
        <v>18</v>
      </c>
      <c r="H10" s="88" t="s">
        <v>19</v>
      </c>
      <c r="I10" s="88" t="s">
        <v>20</v>
      </c>
      <c r="J10" s="88" t="s">
        <v>21</v>
      </c>
      <c r="K10" s="88" t="s">
        <v>22</v>
      </c>
      <c r="L10" s="88" t="s">
        <v>23</v>
      </c>
      <c r="M10" s="88" t="s">
        <v>24</v>
      </c>
    </row>
    <row r="11" spans="1:13" ht="15.75">
      <c r="A11" s="43">
        <v>1</v>
      </c>
      <c r="B11" s="44"/>
      <c r="C11" s="110" t="s">
        <v>213</v>
      </c>
      <c r="D11" s="52" t="s">
        <v>27</v>
      </c>
      <c r="E11" s="52">
        <v>2025</v>
      </c>
      <c r="F11" s="90">
        <f>(H11*20%)+(I11*10%)+(J11*10%)+(K11*10%)+(L11*20%)+(M11*30%)</f>
        <v>0</v>
      </c>
      <c r="G11" s="91" t="str">
        <f t="shared" ref="G11:G40" si="0">IF(F11&gt;=81,"A",IF(F11&gt;66,"B",IF(F11&gt;=56,"C",IF(F11&gt;=46,"D",IF(F11&lt;46,"E")))))</f>
        <v>E</v>
      </c>
      <c r="H11" s="92"/>
      <c r="I11" s="92"/>
      <c r="J11" s="92"/>
      <c r="K11" s="92"/>
      <c r="L11" s="93"/>
      <c r="M11" s="94"/>
    </row>
    <row r="12" spans="1:13" ht="15.75">
      <c r="A12" s="43">
        <v>2</v>
      </c>
      <c r="B12" s="44"/>
      <c r="C12" s="111" t="s">
        <v>214</v>
      </c>
      <c r="D12" s="52" t="s">
        <v>27</v>
      </c>
      <c r="E12" s="52">
        <v>2025</v>
      </c>
      <c r="F12" s="90">
        <f t="shared" ref="F12:F40" si="1">(H12*20%)+(I12*10%)+(J12*10%)+(K12*10%)+(L12*20%)+(M12*30%)</f>
        <v>0</v>
      </c>
      <c r="G12" s="91" t="str">
        <f t="shared" si="0"/>
        <v>E</v>
      </c>
      <c r="H12" s="92"/>
      <c r="I12" s="92"/>
      <c r="J12" s="92"/>
      <c r="K12" s="92"/>
      <c r="L12" s="93"/>
      <c r="M12" s="94"/>
    </row>
    <row r="13" spans="1:13" ht="15.75">
      <c r="A13" s="43">
        <v>3</v>
      </c>
      <c r="B13" s="44"/>
      <c r="C13" s="54" t="s">
        <v>215</v>
      </c>
      <c r="D13" s="52" t="s">
        <v>27</v>
      </c>
      <c r="E13" s="52">
        <v>2025</v>
      </c>
      <c r="F13" s="90">
        <f t="shared" si="1"/>
        <v>0</v>
      </c>
      <c r="G13" s="91" t="str">
        <f t="shared" si="0"/>
        <v>E</v>
      </c>
      <c r="H13" s="92"/>
      <c r="I13" s="92"/>
      <c r="J13" s="92"/>
      <c r="K13" s="92"/>
      <c r="L13" s="93"/>
      <c r="M13" s="94"/>
    </row>
    <row r="14" spans="1:13" ht="15.75">
      <c r="A14" s="43">
        <v>4</v>
      </c>
      <c r="B14" s="44"/>
      <c r="C14" s="112" t="s">
        <v>216</v>
      </c>
      <c r="D14" s="52" t="s">
        <v>27</v>
      </c>
      <c r="E14" s="52">
        <v>2025</v>
      </c>
      <c r="F14" s="90">
        <f t="shared" si="1"/>
        <v>0</v>
      </c>
      <c r="G14" s="91" t="str">
        <f t="shared" si="0"/>
        <v>E</v>
      </c>
      <c r="H14" s="92"/>
      <c r="I14" s="92"/>
      <c r="J14" s="92"/>
      <c r="K14" s="92"/>
      <c r="L14" s="93"/>
      <c r="M14" s="94"/>
    </row>
    <row r="15" spans="1:13" ht="15.75">
      <c r="A15" s="43">
        <v>5</v>
      </c>
      <c r="B15" s="44"/>
      <c r="C15" s="112" t="s">
        <v>217</v>
      </c>
      <c r="D15" s="52" t="s">
        <v>27</v>
      </c>
      <c r="E15" s="52">
        <v>2025</v>
      </c>
      <c r="F15" s="90">
        <f t="shared" si="1"/>
        <v>0</v>
      </c>
      <c r="G15" s="91" t="str">
        <f t="shared" si="0"/>
        <v>E</v>
      </c>
      <c r="H15" s="92"/>
      <c r="I15" s="92"/>
      <c r="J15" s="92"/>
      <c r="K15" s="92"/>
      <c r="L15" s="93"/>
      <c r="M15" s="94"/>
    </row>
    <row r="16" spans="1:13" ht="15.75">
      <c r="A16" s="43">
        <v>6</v>
      </c>
      <c r="B16" s="44"/>
      <c r="C16" s="112" t="s">
        <v>218</v>
      </c>
      <c r="D16" s="52" t="s">
        <v>27</v>
      </c>
      <c r="E16" s="52">
        <v>2025</v>
      </c>
      <c r="F16" s="90">
        <f t="shared" si="1"/>
        <v>0</v>
      </c>
      <c r="G16" s="91" t="str">
        <f t="shared" si="0"/>
        <v>E</v>
      </c>
      <c r="H16" s="92"/>
      <c r="I16" s="92"/>
      <c r="J16" s="92"/>
      <c r="K16" s="92"/>
      <c r="L16" s="93"/>
      <c r="M16" s="94"/>
    </row>
    <row r="17" spans="1:13" ht="15.75">
      <c r="A17" s="43">
        <v>7</v>
      </c>
      <c r="B17" s="44"/>
      <c r="C17" s="112" t="s">
        <v>219</v>
      </c>
      <c r="D17" s="52" t="s">
        <v>27</v>
      </c>
      <c r="E17" s="52">
        <v>2025</v>
      </c>
      <c r="F17" s="90">
        <f t="shared" si="1"/>
        <v>0</v>
      </c>
      <c r="G17" s="91" t="str">
        <f t="shared" si="0"/>
        <v>E</v>
      </c>
      <c r="H17" s="92"/>
      <c r="I17" s="92"/>
      <c r="J17" s="92"/>
      <c r="K17" s="92"/>
      <c r="L17" s="93"/>
      <c r="M17" s="94"/>
    </row>
    <row r="18" spans="1:13" ht="15.75">
      <c r="A18" s="43">
        <v>8</v>
      </c>
      <c r="B18" s="44"/>
      <c r="C18" s="112" t="s">
        <v>220</v>
      </c>
      <c r="D18" s="52" t="s">
        <v>27</v>
      </c>
      <c r="E18" s="52">
        <v>2025</v>
      </c>
      <c r="F18" s="90">
        <f t="shared" si="1"/>
        <v>0</v>
      </c>
      <c r="G18" s="91" t="str">
        <f t="shared" si="0"/>
        <v>E</v>
      </c>
      <c r="H18" s="92"/>
      <c r="I18" s="92"/>
      <c r="J18" s="92"/>
      <c r="K18" s="92"/>
      <c r="L18" s="93"/>
      <c r="M18" s="94"/>
    </row>
    <row r="19" spans="1:13" ht="15.75">
      <c r="A19" s="43">
        <v>9</v>
      </c>
      <c r="B19" s="44"/>
      <c r="C19" s="112" t="s">
        <v>221</v>
      </c>
      <c r="D19" s="52" t="s">
        <v>27</v>
      </c>
      <c r="E19" s="52">
        <v>2025</v>
      </c>
      <c r="F19" s="90">
        <f t="shared" si="1"/>
        <v>0</v>
      </c>
      <c r="G19" s="91" t="str">
        <f t="shared" si="0"/>
        <v>E</v>
      </c>
      <c r="H19" s="94"/>
      <c r="I19" s="94"/>
      <c r="J19" s="94"/>
      <c r="K19" s="94"/>
      <c r="L19" s="95"/>
      <c r="M19" s="94"/>
    </row>
    <row r="20" spans="1:13" ht="15.75">
      <c r="A20" s="43">
        <v>10</v>
      </c>
      <c r="B20" s="44"/>
      <c r="C20" s="112" t="s">
        <v>222</v>
      </c>
      <c r="D20" s="52" t="s">
        <v>27</v>
      </c>
      <c r="E20" s="52">
        <v>2025</v>
      </c>
      <c r="F20" s="90">
        <f t="shared" si="1"/>
        <v>0</v>
      </c>
      <c r="G20" s="91" t="str">
        <f t="shared" si="0"/>
        <v>E</v>
      </c>
      <c r="H20" s="92"/>
      <c r="I20" s="92"/>
      <c r="J20" s="92"/>
      <c r="K20" s="92"/>
      <c r="L20" s="93"/>
      <c r="M20" s="94"/>
    </row>
    <row r="21" spans="1:13" ht="15.75">
      <c r="A21" s="43">
        <v>11</v>
      </c>
      <c r="B21" s="44"/>
      <c r="C21" s="112" t="s">
        <v>223</v>
      </c>
      <c r="D21" s="52" t="s">
        <v>27</v>
      </c>
      <c r="E21" s="52">
        <v>2025</v>
      </c>
      <c r="F21" s="90">
        <f t="shared" si="1"/>
        <v>0</v>
      </c>
      <c r="G21" s="91" t="str">
        <f t="shared" si="0"/>
        <v>E</v>
      </c>
      <c r="H21" s="92"/>
      <c r="I21" s="92"/>
      <c r="J21" s="92"/>
      <c r="K21" s="92"/>
      <c r="L21" s="93"/>
      <c r="M21" s="94"/>
    </row>
    <row r="22" spans="1:13" ht="15.75">
      <c r="A22" s="43">
        <v>12</v>
      </c>
      <c r="B22" s="44"/>
      <c r="C22" s="112" t="s">
        <v>224</v>
      </c>
      <c r="D22" s="52" t="s">
        <v>27</v>
      </c>
      <c r="E22" s="52">
        <v>2025</v>
      </c>
      <c r="F22" s="90">
        <f t="shared" si="1"/>
        <v>0</v>
      </c>
      <c r="G22" s="91" t="str">
        <f t="shared" si="0"/>
        <v>E</v>
      </c>
      <c r="H22" s="92"/>
      <c r="I22" s="92"/>
      <c r="J22" s="92"/>
      <c r="K22" s="92"/>
      <c r="L22" s="93"/>
      <c r="M22" s="94"/>
    </row>
    <row r="23" spans="1:13" ht="15.75">
      <c r="A23" s="43">
        <v>13</v>
      </c>
      <c r="B23" s="44"/>
      <c r="C23" s="112" t="s">
        <v>225</v>
      </c>
      <c r="D23" s="52" t="s">
        <v>27</v>
      </c>
      <c r="E23" s="52">
        <v>2025</v>
      </c>
      <c r="F23" s="90">
        <f t="shared" si="1"/>
        <v>0</v>
      </c>
      <c r="G23" s="91" t="str">
        <f t="shared" si="0"/>
        <v>E</v>
      </c>
      <c r="H23" s="92"/>
      <c r="I23" s="92"/>
      <c r="J23" s="92"/>
      <c r="K23" s="92"/>
      <c r="L23" s="93"/>
      <c r="M23" s="94"/>
    </row>
    <row r="24" spans="1:13" ht="15.75">
      <c r="A24" s="43">
        <v>14</v>
      </c>
      <c r="B24" s="44"/>
      <c r="C24" s="112" t="s">
        <v>228</v>
      </c>
      <c r="D24" s="52" t="s">
        <v>27</v>
      </c>
      <c r="E24" s="52">
        <v>2025</v>
      </c>
      <c r="F24" s="90">
        <f t="shared" si="1"/>
        <v>0</v>
      </c>
      <c r="G24" s="91" t="str">
        <f t="shared" si="0"/>
        <v>E</v>
      </c>
      <c r="H24" s="92"/>
      <c r="I24" s="92"/>
      <c r="J24" s="92"/>
      <c r="K24" s="92"/>
      <c r="L24" s="93"/>
      <c r="M24" s="94"/>
    </row>
    <row r="25" spans="1:13" ht="15.75">
      <c r="A25" s="43">
        <v>15</v>
      </c>
      <c r="B25" s="44"/>
      <c r="C25" s="112" t="s">
        <v>226</v>
      </c>
      <c r="D25" s="52" t="s">
        <v>27</v>
      </c>
      <c r="E25" s="52">
        <v>2025</v>
      </c>
      <c r="F25" s="90">
        <f t="shared" si="1"/>
        <v>0</v>
      </c>
      <c r="G25" s="91" t="str">
        <f t="shared" si="0"/>
        <v>E</v>
      </c>
      <c r="H25" s="92"/>
      <c r="I25" s="92"/>
      <c r="J25" s="92"/>
      <c r="K25" s="92"/>
      <c r="L25" s="93"/>
      <c r="M25" s="94"/>
    </row>
    <row r="26" spans="1:13" ht="15.75">
      <c r="A26" s="43">
        <v>16</v>
      </c>
      <c r="B26" s="44"/>
      <c r="C26" s="112" t="s">
        <v>227</v>
      </c>
      <c r="D26" s="52" t="s">
        <v>27</v>
      </c>
      <c r="E26" s="52">
        <v>2025</v>
      </c>
      <c r="F26" s="90">
        <f t="shared" si="1"/>
        <v>0</v>
      </c>
      <c r="G26" s="91" t="str">
        <f t="shared" si="0"/>
        <v>E</v>
      </c>
      <c r="H26" s="92"/>
      <c r="I26" s="92"/>
      <c r="J26" s="92"/>
      <c r="K26" s="92"/>
      <c r="L26" s="93"/>
      <c r="M26" s="94"/>
    </row>
    <row r="27" spans="1:13" ht="15.75">
      <c r="A27" s="43">
        <v>17</v>
      </c>
      <c r="B27" s="44"/>
      <c r="C27" s="112" t="s">
        <v>229</v>
      </c>
      <c r="D27" s="52" t="s">
        <v>27</v>
      </c>
      <c r="E27" s="52">
        <v>2025</v>
      </c>
      <c r="F27" s="90">
        <f t="shared" si="1"/>
        <v>0</v>
      </c>
      <c r="G27" s="91" t="str">
        <f t="shared" si="0"/>
        <v>E</v>
      </c>
      <c r="H27" s="92"/>
      <c r="I27" s="92"/>
      <c r="J27" s="92"/>
      <c r="K27" s="92"/>
      <c r="L27" s="93"/>
      <c r="M27" s="94"/>
    </row>
    <row r="28" spans="1:13" ht="15.75">
      <c r="A28" s="43">
        <v>18</v>
      </c>
      <c r="B28" s="44"/>
      <c r="C28" s="106" t="s">
        <v>230</v>
      </c>
      <c r="D28" s="52" t="s">
        <v>27</v>
      </c>
      <c r="E28" s="52">
        <v>2025</v>
      </c>
      <c r="F28" s="90">
        <f t="shared" si="1"/>
        <v>0</v>
      </c>
      <c r="G28" s="91" t="str">
        <f t="shared" si="0"/>
        <v>E</v>
      </c>
      <c r="H28" s="92"/>
      <c r="I28" s="92"/>
      <c r="J28" s="92"/>
      <c r="K28" s="92"/>
      <c r="L28" s="93"/>
      <c r="M28" s="94"/>
    </row>
    <row r="29" spans="1:13" ht="15.75">
      <c r="A29" s="43">
        <v>19</v>
      </c>
      <c r="B29" s="44"/>
      <c r="C29" s="106" t="s">
        <v>231</v>
      </c>
      <c r="D29" s="52" t="s">
        <v>27</v>
      </c>
      <c r="E29" s="52">
        <v>2025</v>
      </c>
      <c r="F29" s="90">
        <f t="shared" si="1"/>
        <v>0</v>
      </c>
      <c r="G29" s="91" t="str">
        <f t="shared" si="0"/>
        <v>E</v>
      </c>
      <c r="H29" s="92"/>
      <c r="I29" s="92"/>
      <c r="J29" s="92"/>
      <c r="K29" s="92"/>
      <c r="L29" s="93"/>
      <c r="M29" s="94"/>
    </row>
    <row r="30" spans="1:13" ht="15.75">
      <c r="A30" s="43">
        <v>20</v>
      </c>
      <c r="B30" s="44"/>
      <c r="C30" s="106" t="s">
        <v>232</v>
      </c>
      <c r="D30" s="52" t="s">
        <v>27</v>
      </c>
      <c r="E30" s="52">
        <v>2025</v>
      </c>
      <c r="F30" s="90">
        <f t="shared" si="1"/>
        <v>0</v>
      </c>
      <c r="G30" s="91" t="str">
        <f t="shared" si="0"/>
        <v>E</v>
      </c>
      <c r="H30" s="92"/>
      <c r="I30" s="92"/>
      <c r="J30" s="92"/>
      <c r="K30" s="92"/>
      <c r="L30" s="93"/>
      <c r="M30" s="94"/>
    </row>
    <row r="31" spans="1:13" ht="15.75">
      <c r="A31" s="43">
        <v>21</v>
      </c>
      <c r="B31" s="44"/>
      <c r="C31" s="106" t="s">
        <v>233</v>
      </c>
      <c r="D31" s="52" t="s">
        <v>27</v>
      </c>
      <c r="E31" s="52">
        <v>2025</v>
      </c>
      <c r="F31" s="90">
        <f t="shared" si="1"/>
        <v>0</v>
      </c>
      <c r="G31" s="91" t="str">
        <f t="shared" si="0"/>
        <v>E</v>
      </c>
      <c r="H31" s="92"/>
      <c r="I31" s="92"/>
      <c r="J31" s="92"/>
      <c r="K31" s="92"/>
      <c r="L31" s="93"/>
      <c r="M31" s="94"/>
    </row>
    <row r="32" spans="1:13" ht="15.75">
      <c r="A32" s="43">
        <v>22</v>
      </c>
      <c r="B32" s="44"/>
      <c r="C32" s="106" t="s">
        <v>234</v>
      </c>
      <c r="D32" s="52" t="s">
        <v>27</v>
      </c>
      <c r="E32" s="52">
        <v>2025</v>
      </c>
      <c r="F32" s="90">
        <f t="shared" si="1"/>
        <v>0</v>
      </c>
      <c r="G32" s="91" t="str">
        <f t="shared" si="0"/>
        <v>E</v>
      </c>
      <c r="H32" s="92"/>
      <c r="I32" s="92"/>
      <c r="J32" s="92"/>
      <c r="K32" s="92"/>
      <c r="L32" s="93"/>
      <c r="M32" s="94"/>
    </row>
    <row r="33" spans="1:13" ht="15.75">
      <c r="A33" s="43">
        <v>23</v>
      </c>
      <c r="B33" s="44"/>
      <c r="C33" s="106" t="s">
        <v>235</v>
      </c>
      <c r="D33" s="52" t="s">
        <v>27</v>
      </c>
      <c r="E33" s="52">
        <v>2025</v>
      </c>
      <c r="F33" s="90">
        <f t="shared" si="1"/>
        <v>0</v>
      </c>
      <c r="G33" s="91" t="str">
        <f>IF(F33&gt;=81,"A",IF(F33&gt;66,"B",IF(F33&gt;=56,"C",IF(F33&gt;=46,"D",IF(F33&lt;46,"E")))))</f>
        <v>E</v>
      </c>
      <c r="H33" s="92"/>
      <c r="I33" s="92"/>
      <c r="J33" s="92"/>
      <c r="K33" s="92"/>
      <c r="L33" s="93"/>
      <c r="M33" s="94"/>
    </row>
    <row r="34" spans="1:13" ht="15.75">
      <c r="A34" s="43">
        <v>24</v>
      </c>
      <c r="B34" s="44"/>
      <c r="C34" s="106" t="s">
        <v>236</v>
      </c>
      <c r="D34" s="52" t="s">
        <v>27</v>
      </c>
      <c r="E34" s="52">
        <v>2025</v>
      </c>
      <c r="F34" s="90">
        <f t="shared" si="1"/>
        <v>0</v>
      </c>
      <c r="G34" s="91" t="str">
        <f t="shared" si="0"/>
        <v>E</v>
      </c>
      <c r="H34" s="92"/>
      <c r="I34" s="92"/>
      <c r="J34" s="92"/>
      <c r="K34" s="92"/>
      <c r="L34" s="93"/>
      <c r="M34" s="94"/>
    </row>
    <row r="35" spans="1:13" ht="15.75">
      <c r="A35" s="43">
        <v>25</v>
      </c>
      <c r="B35" s="44"/>
      <c r="C35" s="106" t="s">
        <v>237</v>
      </c>
      <c r="D35" s="52" t="s">
        <v>27</v>
      </c>
      <c r="E35" s="52">
        <v>2025</v>
      </c>
      <c r="F35" s="90">
        <f t="shared" si="1"/>
        <v>0</v>
      </c>
      <c r="G35" s="91" t="str">
        <f t="shared" si="0"/>
        <v>E</v>
      </c>
      <c r="H35" s="92"/>
      <c r="I35" s="92"/>
      <c r="J35" s="92"/>
      <c r="K35" s="92"/>
      <c r="L35" s="93"/>
      <c r="M35" s="94"/>
    </row>
    <row r="36" spans="1:13" ht="15.75">
      <c r="A36" s="43">
        <v>26</v>
      </c>
      <c r="B36" s="44"/>
      <c r="C36" s="106" t="s">
        <v>238</v>
      </c>
      <c r="D36" s="52" t="s">
        <v>27</v>
      </c>
      <c r="E36" s="52">
        <v>2025</v>
      </c>
      <c r="F36" s="90">
        <f t="shared" si="1"/>
        <v>0</v>
      </c>
      <c r="G36" s="91" t="str">
        <f t="shared" si="0"/>
        <v>E</v>
      </c>
      <c r="H36" s="92"/>
      <c r="I36" s="92"/>
      <c r="J36" s="92"/>
      <c r="K36" s="92"/>
      <c r="L36" s="93"/>
      <c r="M36" s="94"/>
    </row>
    <row r="37" spans="1:13" ht="15.75">
      <c r="A37" s="43">
        <v>27</v>
      </c>
      <c r="B37" s="44"/>
      <c r="C37" s="106" t="s">
        <v>239</v>
      </c>
      <c r="D37" s="52" t="s">
        <v>27</v>
      </c>
      <c r="E37" s="52">
        <v>2025</v>
      </c>
      <c r="F37" s="90">
        <f t="shared" si="1"/>
        <v>0</v>
      </c>
      <c r="G37" s="91" t="str">
        <f t="shared" si="0"/>
        <v>E</v>
      </c>
      <c r="H37" s="92"/>
      <c r="I37" s="92"/>
      <c r="J37" s="92"/>
      <c r="K37" s="92"/>
      <c r="L37" s="93"/>
      <c r="M37" s="94"/>
    </row>
    <row r="38" spans="1:13" ht="15.75">
      <c r="A38" s="43">
        <v>28</v>
      </c>
      <c r="B38" s="44"/>
      <c r="C38" s="113" t="s">
        <v>240</v>
      </c>
      <c r="D38" s="52" t="s">
        <v>27</v>
      </c>
      <c r="E38" s="52">
        <v>2025</v>
      </c>
      <c r="F38" s="90">
        <f t="shared" si="1"/>
        <v>0</v>
      </c>
      <c r="G38" s="91" t="str">
        <f t="shared" si="0"/>
        <v>E</v>
      </c>
      <c r="H38" s="92"/>
      <c r="I38" s="92"/>
      <c r="J38" s="92"/>
      <c r="K38" s="92"/>
      <c r="L38" s="93"/>
      <c r="M38" s="94"/>
    </row>
    <row r="39" spans="1:13" ht="15.75">
      <c r="A39" s="43">
        <v>29</v>
      </c>
      <c r="B39" s="44"/>
      <c r="C39" s="106" t="s">
        <v>241</v>
      </c>
      <c r="D39" s="52" t="s">
        <v>27</v>
      </c>
      <c r="E39" s="52">
        <v>2025</v>
      </c>
      <c r="F39" s="90">
        <f t="shared" si="1"/>
        <v>0</v>
      </c>
      <c r="G39" s="91" t="str">
        <f t="shared" si="0"/>
        <v>E</v>
      </c>
      <c r="H39" s="92"/>
      <c r="I39" s="92"/>
      <c r="J39" s="92"/>
      <c r="K39" s="92"/>
      <c r="L39" s="93"/>
      <c r="M39" s="94"/>
    </row>
    <row r="40" spans="1:13" ht="15.75">
      <c r="A40" s="43">
        <v>30</v>
      </c>
      <c r="B40" s="44"/>
      <c r="C40" s="106" t="s">
        <v>242</v>
      </c>
      <c r="D40" s="52" t="s">
        <v>27</v>
      </c>
      <c r="E40" s="52">
        <v>2025</v>
      </c>
      <c r="F40" s="90">
        <f t="shared" si="1"/>
        <v>0</v>
      </c>
      <c r="G40" s="91" t="str">
        <f t="shared" si="0"/>
        <v>E</v>
      </c>
      <c r="H40" s="92"/>
      <c r="I40" s="92"/>
      <c r="J40" s="92"/>
      <c r="K40" s="92"/>
      <c r="L40" s="93"/>
      <c r="M40" s="94"/>
    </row>
    <row r="41" spans="1:13" ht="15.75">
      <c r="A41" s="97"/>
      <c r="B41" s="97"/>
      <c r="C41" s="83"/>
      <c r="D41" s="97"/>
      <c r="E41" s="97"/>
      <c r="F41" s="97"/>
      <c r="G41" s="97"/>
      <c r="H41" s="98"/>
      <c r="I41" s="98"/>
      <c r="J41" s="98"/>
      <c r="K41" s="98"/>
      <c r="L41" s="98"/>
      <c r="M41" s="98"/>
    </row>
    <row r="42" spans="1:13" ht="15.75">
      <c r="A42" s="85" t="s">
        <v>50</v>
      </c>
      <c r="B42" s="83"/>
      <c r="C42" s="83"/>
      <c r="D42" s="83"/>
      <c r="E42" s="83"/>
      <c r="F42" s="97"/>
      <c r="G42" s="97"/>
      <c r="H42" s="83"/>
      <c r="I42" s="97"/>
      <c r="J42" s="83"/>
      <c r="K42" s="83"/>
      <c r="L42" s="83"/>
      <c r="M42" s="98"/>
    </row>
    <row r="43" spans="1:13" ht="15.75">
      <c r="A43" s="99" t="s">
        <v>12</v>
      </c>
      <c r="B43" s="99" t="s">
        <v>51</v>
      </c>
      <c r="C43" s="99" t="s">
        <v>18</v>
      </c>
      <c r="D43" s="99" t="s">
        <v>52</v>
      </c>
      <c r="E43" s="97"/>
      <c r="F43" s="97"/>
      <c r="G43" s="83"/>
      <c r="H43" s="100"/>
      <c r="I43" s="97"/>
      <c r="J43" s="83"/>
      <c r="K43" s="83"/>
      <c r="L43" s="98"/>
      <c r="M43" s="101"/>
    </row>
    <row r="44" spans="1:13" ht="31.5">
      <c r="A44" s="52">
        <v>1</v>
      </c>
      <c r="B44" s="52" t="s">
        <v>53</v>
      </c>
      <c r="C44" s="52" t="s">
        <v>54</v>
      </c>
      <c r="D44" s="102" t="s">
        <v>55</v>
      </c>
      <c r="E44" s="97"/>
      <c r="F44" s="97"/>
      <c r="G44" s="83"/>
      <c r="H44" s="100"/>
      <c r="I44" s="83"/>
      <c r="J44" s="83"/>
      <c r="K44" s="83"/>
      <c r="L44" s="98"/>
      <c r="M44" s="101"/>
    </row>
    <row r="45" spans="1:13" ht="15.75">
      <c r="A45" s="52">
        <v>3</v>
      </c>
      <c r="B45" s="52" t="s">
        <v>56</v>
      </c>
      <c r="C45" s="52" t="s">
        <v>57</v>
      </c>
      <c r="D45" s="52" t="s">
        <v>58</v>
      </c>
      <c r="E45" s="97"/>
      <c r="F45" s="97"/>
      <c r="G45" s="83"/>
      <c r="H45" s="100"/>
      <c r="I45" s="83"/>
      <c r="J45" s="83"/>
      <c r="K45" s="83"/>
      <c r="L45" s="98"/>
      <c r="M45" s="101"/>
    </row>
    <row r="46" spans="1:13" ht="15.75">
      <c r="A46" s="52">
        <v>5</v>
      </c>
      <c r="B46" s="52" t="s">
        <v>59</v>
      </c>
      <c r="C46" s="52" t="s">
        <v>60</v>
      </c>
      <c r="D46" s="52" t="s">
        <v>61</v>
      </c>
      <c r="E46" s="97"/>
      <c r="F46" s="97"/>
      <c r="G46" s="83"/>
      <c r="H46" s="83"/>
      <c r="I46" s="83"/>
      <c r="J46" s="83"/>
      <c r="K46" s="83"/>
      <c r="L46" s="98"/>
      <c r="M46" s="101"/>
    </row>
    <row r="47" spans="1:13" ht="15.75">
      <c r="A47" s="52">
        <v>7</v>
      </c>
      <c r="B47" s="52" t="s">
        <v>62</v>
      </c>
      <c r="C47" s="52" t="s">
        <v>63</v>
      </c>
      <c r="D47" s="52" t="s">
        <v>64</v>
      </c>
      <c r="E47" s="97"/>
      <c r="F47" s="97"/>
      <c r="G47" s="98"/>
      <c r="H47" s="98"/>
      <c r="I47" s="81"/>
      <c r="J47" s="98"/>
      <c r="K47" s="98"/>
      <c r="L47" s="98"/>
      <c r="M47" s="101"/>
    </row>
    <row r="48" spans="1:13" ht="15.75">
      <c r="A48" s="52">
        <v>9</v>
      </c>
      <c r="B48" s="52" t="s">
        <v>65</v>
      </c>
      <c r="C48" s="52" t="s">
        <v>66</v>
      </c>
      <c r="D48" s="52" t="s">
        <v>67</v>
      </c>
      <c r="E48" s="97"/>
      <c r="F48" s="97"/>
      <c r="G48" s="98"/>
      <c r="H48" s="98"/>
      <c r="I48" s="81"/>
      <c r="J48" s="98"/>
      <c r="K48" s="98"/>
      <c r="L48" s="98"/>
      <c r="M48" s="101"/>
    </row>
    <row r="49" spans="1:13" ht="15.75">
      <c r="A49" s="97"/>
      <c r="B49" s="97"/>
      <c r="C49" s="83"/>
      <c r="D49" s="97"/>
      <c r="E49" s="97"/>
      <c r="F49" s="97"/>
      <c r="G49" s="97"/>
      <c r="H49" s="98"/>
      <c r="I49" s="98"/>
      <c r="J49" s="98"/>
      <c r="K49" s="98"/>
      <c r="L49" s="98"/>
      <c r="M49" s="98"/>
    </row>
  </sheetData>
  <sortState xmlns:xlrd2="http://schemas.microsoft.com/office/spreadsheetml/2017/richdata2" ref="C12:C40">
    <sortCondition ref="C11:C40"/>
  </sortState>
  <mergeCells count="5">
    <mergeCell ref="A2:M2"/>
    <mergeCell ref="A3:M3"/>
    <mergeCell ref="A9:E9"/>
    <mergeCell ref="F9:G9"/>
    <mergeCell ref="H9:M9"/>
  </mergeCells>
  <dataValidations count="1">
    <dataValidation allowBlank="1" showInputMessage="1" showErrorMessage="1" promptTitle="Keterangan :" prompt="Nilai = AP 10%+HP 15%+KPQ 10%+KPT 15%+KP UTS 25%+KP UAS 25%" sqref="L11:L40" xr:uid="{E28F14EF-0FE1-4187-9E06-09852632E177}"/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60"/>
  <sheetViews>
    <sheetView tabSelected="1" workbookViewId="0">
      <selection activeCell="S9" sqref="S9"/>
    </sheetView>
  </sheetViews>
  <sheetFormatPr defaultRowHeight="15"/>
  <cols>
    <col min="1" max="1" width="3.85546875" customWidth="1"/>
    <col min="2" max="2" width="12.7109375" customWidth="1"/>
    <col min="3" max="3" width="26.140625" customWidth="1"/>
    <col min="4" max="4" width="16.140625" customWidth="1"/>
    <col min="5" max="5" width="13.140625" customWidth="1"/>
    <col min="6" max="6" width="9.140625" customWidth="1"/>
    <col min="7" max="7" width="10.140625" customWidth="1"/>
    <col min="8" max="8" width="13.7109375" customWidth="1"/>
    <col min="9" max="9" width="9.5703125" customWidth="1"/>
    <col min="10" max="10" width="15.140625" customWidth="1"/>
    <col min="11" max="11" width="12.7109375" customWidth="1"/>
    <col min="12" max="12" width="7.7109375" customWidth="1"/>
    <col min="13" max="13" width="7" customWidth="1"/>
  </cols>
  <sheetData>
    <row r="2" spans="1:13" ht="15.75">
      <c r="A2" s="125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15.7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</row>
    <row r="4" spans="1:13" ht="15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>
      <c r="A5" s="2" t="s">
        <v>0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5.75">
      <c r="A6" s="5" t="s">
        <v>1</v>
      </c>
      <c r="B6" s="5"/>
      <c r="C6" s="6" t="s">
        <v>5</v>
      </c>
      <c r="D6" s="5"/>
      <c r="E6" s="5" t="s">
        <v>2</v>
      </c>
      <c r="F6" s="5"/>
      <c r="G6" s="5" t="s">
        <v>3</v>
      </c>
      <c r="H6" s="5"/>
      <c r="I6" s="3"/>
      <c r="J6" s="5"/>
      <c r="K6" s="5"/>
      <c r="L6" s="5"/>
      <c r="M6" s="5"/>
    </row>
    <row r="7" spans="1:13" ht="15.75">
      <c r="A7" s="5" t="s">
        <v>4</v>
      </c>
      <c r="B7" s="5"/>
      <c r="C7" s="6" t="s">
        <v>5</v>
      </c>
      <c r="D7" s="5"/>
      <c r="E7" s="5" t="s">
        <v>6</v>
      </c>
      <c r="F7" s="5"/>
      <c r="G7" s="6" t="s">
        <v>5</v>
      </c>
      <c r="H7" s="5"/>
      <c r="I7" s="3"/>
      <c r="J7" s="5"/>
      <c r="K7" s="5"/>
      <c r="L7" s="5"/>
      <c r="M7" s="5"/>
    </row>
    <row r="8" spans="1:13" ht="15.75">
      <c r="A8" s="5" t="s">
        <v>7</v>
      </c>
      <c r="B8" s="5"/>
      <c r="C8" s="6" t="s">
        <v>5</v>
      </c>
      <c r="D8" s="5"/>
      <c r="E8" s="5" t="s">
        <v>8</v>
      </c>
      <c r="F8" s="5"/>
      <c r="G8" s="6" t="s">
        <v>5</v>
      </c>
      <c r="H8" s="5"/>
      <c r="I8" s="3"/>
      <c r="J8" s="5"/>
      <c r="K8" s="5"/>
      <c r="L8" s="5"/>
      <c r="M8" s="5"/>
    </row>
    <row r="9" spans="1:13" ht="15.75">
      <c r="A9" s="127" t="s">
        <v>9</v>
      </c>
      <c r="B9" s="128"/>
      <c r="C9" s="128"/>
      <c r="D9" s="128"/>
      <c r="E9" s="129"/>
      <c r="F9" s="130" t="s">
        <v>10</v>
      </c>
      <c r="G9" s="129"/>
      <c r="H9" s="131" t="s">
        <v>11</v>
      </c>
      <c r="I9" s="128"/>
      <c r="J9" s="128"/>
      <c r="K9" s="128"/>
      <c r="L9" s="128"/>
      <c r="M9" s="129"/>
    </row>
    <row r="10" spans="1:13" ht="31.5">
      <c r="A10" s="7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8" t="s">
        <v>17</v>
      </c>
      <c r="G10" s="8" t="s">
        <v>18</v>
      </c>
      <c r="H10" s="9" t="s">
        <v>19</v>
      </c>
      <c r="I10" s="9" t="s">
        <v>20</v>
      </c>
      <c r="J10" s="9" t="s">
        <v>21</v>
      </c>
      <c r="K10" s="9" t="s">
        <v>22</v>
      </c>
      <c r="L10" s="9" t="s">
        <v>23</v>
      </c>
      <c r="M10" s="9" t="s">
        <v>24</v>
      </c>
    </row>
    <row r="11" spans="1:13" ht="15.75">
      <c r="A11" s="10">
        <v>1</v>
      </c>
      <c r="B11" s="11"/>
      <c r="C11" s="31" t="s">
        <v>68</v>
      </c>
      <c r="D11" s="13" t="s">
        <v>27</v>
      </c>
      <c r="E11" s="13">
        <v>2024</v>
      </c>
      <c r="F11" s="14">
        <f>(H11*20%)+(I11*10%)+(J11*10%)+(K11*10%)+(L11*20%)+(M11*30%)</f>
        <v>0</v>
      </c>
      <c r="G11" s="15" t="str">
        <f t="shared" ref="G11:G51" si="0">IF(F11&gt;=81,"A",IF(F11&gt;66,"B",IF(F11&gt;=56,"C",IF(F11&gt;=46,"D",IF(F11&lt;46,"E")))))</f>
        <v>E</v>
      </c>
      <c r="H11" s="32"/>
      <c r="I11" s="32"/>
      <c r="J11" s="32"/>
      <c r="K11" s="32"/>
      <c r="L11" s="33"/>
      <c r="M11" s="34"/>
    </row>
    <row r="12" spans="1:13" ht="15.75">
      <c r="A12" s="10">
        <v>2</v>
      </c>
      <c r="B12" s="11"/>
      <c r="C12" s="31" t="s">
        <v>69</v>
      </c>
      <c r="D12" s="13" t="s">
        <v>27</v>
      </c>
      <c r="E12" s="13">
        <v>2024</v>
      </c>
      <c r="F12" s="14">
        <f t="shared" ref="F12:F51" si="1">(H12*20%)+(I12*10%)+(J12*10%)+(K12*10%)+(L12*20%)+(M12*30%)</f>
        <v>0</v>
      </c>
      <c r="G12" s="15" t="str">
        <f t="shared" si="0"/>
        <v>E</v>
      </c>
      <c r="H12" s="32"/>
      <c r="I12" s="32"/>
      <c r="J12" s="32"/>
      <c r="K12" s="32"/>
      <c r="L12" s="33"/>
      <c r="M12" s="34"/>
    </row>
    <row r="13" spans="1:13" ht="15.75">
      <c r="A13" s="10">
        <v>3</v>
      </c>
      <c r="B13" s="11"/>
      <c r="C13" s="31" t="s">
        <v>70</v>
      </c>
      <c r="D13" s="13" t="s">
        <v>27</v>
      </c>
      <c r="E13" s="13">
        <v>2024</v>
      </c>
      <c r="F13" s="14">
        <f t="shared" si="1"/>
        <v>0</v>
      </c>
      <c r="G13" s="15" t="str">
        <f t="shared" si="0"/>
        <v>E</v>
      </c>
      <c r="H13" s="32"/>
      <c r="I13" s="32"/>
      <c r="J13" s="32"/>
      <c r="K13" s="32"/>
      <c r="L13" s="33"/>
      <c r="M13" s="34"/>
    </row>
    <row r="14" spans="1:13" ht="15.75">
      <c r="A14" s="10">
        <v>4</v>
      </c>
      <c r="B14" s="11"/>
      <c r="C14" s="31" t="s">
        <v>71</v>
      </c>
      <c r="D14" s="13" t="s">
        <v>27</v>
      </c>
      <c r="E14" s="13">
        <v>2024</v>
      </c>
      <c r="F14" s="14">
        <f t="shared" si="1"/>
        <v>0</v>
      </c>
      <c r="G14" s="15" t="str">
        <f t="shared" si="0"/>
        <v>E</v>
      </c>
      <c r="H14" s="32"/>
      <c r="I14" s="32"/>
      <c r="J14" s="32"/>
      <c r="K14" s="32"/>
      <c r="L14" s="33"/>
      <c r="M14" s="34"/>
    </row>
    <row r="15" spans="1:13" ht="15.75">
      <c r="A15" s="10">
        <v>5</v>
      </c>
      <c r="B15" s="11"/>
      <c r="C15" s="31" t="s">
        <v>72</v>
      </c>
      <c r="D15" s="13" t="s">
        <v>27</v>
      </c>
      <c r="E15" s="13">
        <v>2024</v>
      </c>
      <c r="F15" s="14">
        <f t="shared" si="1"/>
        <v>0</v>
      </c>
      <c r="G15" s="15" t="str">
        <f t="shared" si="0"/>
        <v>E</v>
      </c>
      <c r="H15" s="32"/>
      <c r="I15" s="32"/>
      <c r="J15" s="32"/>
      <c r="K15" s="32"/>
      <c r="L15" s="33"/>
      <c r="M15" s="34"/>
    </row>
    <row r="16" spans="1:13" ht="15.75">
      <c r="A16" s="10">
        <v>6</v>
      </c>
      <c r="B16" s="11"/>
      <c r="C16" s="31" t="s">
        <v>73</v>
      </c>
      <c r="D16" s="13" t="s">
        <v>27</v>
      </c>
      <c r="E16" s="13">
        <v>2024</v>
      </c>
      <c r="F16" s="14">
        <f t="shared" si="1"/>
        <v>0</v>
      </c>
      <c r="G16" s="15" t="str">
        <f t="shared" si="0"/>
        <v>E</v>
      </c>
      <c r="H16" s="32"/>
      <c r="I16" s="32"/>
      <c r="J16" s="32"/>
      <c r="K16" s="32"/>
      <c r="L16" s="33"/>
      <c r="M16" s="34"/>
    </row>
    <row r="17" spans="1:13" ht="15.75">
      <c r="A17" s="10">
        <v>7</v>
      </c>
      <c r="B17" s="11"/>
      <c r="C17" s="31" t="s">
        <v>74</v>
      </c>
      <c r="D17" s="13" t="s">
        <v>27</v>
      </c>
      <c r="E17" s="13">
        <v>2024</v>
      </c>
      <c r="F17" s="14">
        <f t="shared" si="1"/>
        <v>0</v>
      </c>
      <c r="G17" s="15" t="str">
        <f t="shared" si="0"/>
        <v>E</v>
      </c>
      <c r="H17" s="32"/>
      <c r="I17" s="32"/>
      <c r="J17" s="32"/>
      <c r="K17" s="32"/>
      <c r="L17" s="33"/>
      <c r="M17" s="34"/>
    </row>
    <row r="18" spans="1:13" ht="15.75">
      <c r="A18" s="10">
        <v>8</v>
      </c>
      <c r="B18" s="11"/>
      <c r="C18" s="31" t="s">
        <v>75</v>
      </c>
      <c r="D18" s="13" t="s">
        <v>27</v>
      </c>
      <c r="E18" s="13">
        <v>2024</v>
      </c>
      <c r="F18" s="14">
        <f t="shared" si="1"/>
        <v>0</v>
      </c>
      <c r="G18" s="15" t="str">
        <f t="shared" si="0"/>
        <v>E</v>
      </c>
      <c r="H18" s="32"/>
      <c r="I18" s="32"/>
      <c r="J18" s="32"/>
      <c r="K18" s="32"/>
      <c r="L18" s="33"/>
      <c r="M18" s="34"/>
    </row>
    <row r="19" spans="1:13" ht="15.75">
      <c r="A19" s="10">
        <v>9</v>
      </c>
      <c r="B19" s="11"/>
      <c r="C19" s="31" t="s">
        <v>76</v>
      </c>
      <c r="D19" s="13" t="s">
        <v>27</v>
      </c>
      <c r="E19" s="13">
        <v>2024</v>
      </c>
      <c r="F19" s="14">
        <f t="shared" si="1"/>
        <v>0</v>
      </c>
      <c r="G19" s="15" t="str">
        <f t="shared" si="0"/>
        <v>E</v>
      </c>
      <c r="H19" s="34"/>
      <c r="I19" s="34"/>
      <c r="J19" s="34"/>
      <c r="K19" s="34"/>
      <c r="L19" s="35"/>
      <c r="M19" s="34"/>
    </row>
    <row r="20" spans="1:13" ht="15.75">
      <c r="A20" s="10">
        <v>10</v>
      </c>
      <c r="B20" s="11"/>
      <c r="C20" s="36" t="s">
        <v>77</v>
      </c>
      <c r="D20" s="13" t="s">
        <v>27</v>
      </c>
      <c r="E20" s="13">
        <v>2024</v>
      </c>
      <c r="F20" s="14">
        <f t="shared" si="1"/>
        <v>0</v>
      </c>
      <c r="G20" s="15" t="str">
        <f t="shared" si="0"/>
        <v>E</v>
      </c>
      <c r="H20" s="32"/>
      <c r="I20" s="32"/>
      <c r="J20" s="32"/>
      <c r="K20" s="32"/>
      <c r="L20" s="33"/>
      <c r="M20" s="34"/>
    </row>
    <row r="21" spans="1:13" ht="15.75">
      <c r="A21" s="10">
        <v>11</v>
      </c>
      <c r="B21" s="11"/>
      <c r="C21" s="36" t="s">
        <v>79</v>
      </c>
      <c r="D21" s="13" t="s">
        <v>27</v>
      </c>
      <c r="E21" s="13">
        <v>2024</v>
      </c>
      <c r="F21" s="14">
        <f t="shared" si="1"/>
        <v>0</v>
      </c>
      <c r="G21" s="15" t="str">
        <f t="shared" si="0"/>
        <v>E</v>
      </c>
      <c r="H21" s="32"/>
      <c r="I21" s="32"/>
      <c r="J21" s="32"/>
      <c r="K21" s="32"/>
      <c r="L21" s="33"/>
      <c r="M21" s="34"/>
    </row>
    <row r="22" spans="1:13" ht="15.75">
      <c r="A22" s="10">
        <v>12</v>
      </c>
      <c r="B22" s="11"/>
      <c r="C22" s="36" t="s">
        <v>81</v>
      </c>
      <c r="D22" s="13" t="s">
        <v>27</v>
      </c>
      <c r="E22" s="13">
        <v>2024</v>
      </c>
      <c r="F22" s="14">
        <f t="shared" si="1"/>
        <v>0</v>
      </c>
      <c r="G22" s="15" t="str">
        <f t="shared" si="0"/>
        <v>E</v>
      </c>
      <c r="H22" s="32"/>
      <c r="I22" s="32"/>
      <c r="J22" s="32"/>
      <c r="K22" s="32"/>
      <c r="L22" s="33"/>
      <c r="M22" s="34"/>
    </row>
    <row r="23" spans="1:13" ht="15.75">
      <c r="A23" s="10">
        <v>13</v>
      </c>
      <c r="B23" s="11"/>
      <c r="C23" s="36" t="s">
        <v>83</v>
      </c>
      <c r="D23" s="13" t="s">
        <v>27</v>
      </c>
      <c r="E23" s="13">
        <v>2024</v>
      </c>
      <c r="F23" s="14">
        <f t="shared" si="1"/>
        <v>0</v>
      </c>
      <c r="G23" s="15" t="str">
        <f t="shared" si="0"/>
        <v>E</v>
      </c>
      <c r="H23" s="32"/>
      <c r="I23" s="32"/>
      <c r="J23" s="32"/>
      <c r="K23" s="32"/>
      <c r="L23" s="33"/>
      <c r="M23" s="34"/>
    </row>
    <row r="24" spans="1:13" ht="15.75">
      <c r="A24" s="10">
        <v>14</v>
      </c>
      <c r="B24" s="11"/>
      <c r="C24" s="36" t="s">
        <v>85</v>
      </c>
      <c r="D24" s="13" t="s">
        <v>27</v>
      </c>
      <c r="E24" s="13">
        <v>2024</v>
      </c>
      <c r="F24" s="14">
        <f t="shared" si="1"/>
        <v>0</v>
      </c>
      <c r="G24" s="15" t="str">
        <f t="shared" si="0"/>
        <v>E</v>
      </c>
      <c r="H24" s="32"/>
      <c r="I24" s="32"/>
      <c r="J24" s="32"/>
      <c r="K24" s="32"/>
      <c r="L24" s="33"/>
      <c r="M24" s="34"/>
    </row>
    <row r="25" spans="1:13" ht="15.75">
      <c r="A25" s="10">
        <v>15</v>
      </c>
      <c r="B25" s="11"/>
      <c r="C25" s="36" t="s">
        <v>87</v>
      </c>
      <c r="D25" s="13" t="s">
        <v>27</v>
      </c>
      <c r="E25" s="13">
        <v>2024</v>
      </c>
      <c r="F25" s="14">
        <f t="shared" si="1"/>
        <v>0</v>
      </c>
      <c r="G25" s="15" t="str">
        <f t="shared" si="0"/>
        <v>E</v>
      </c>
      <c r="H25" s="32"/>
      <c r="I25" s="32"/>
      <c r="J25" s="32"/>
      <c r="K25" s="32"/>
      <c r="L25" s="33"/>
      <c r="M25" s="34"/>
    </row>
    <row r="26" spans="1:13" ht="15.75">
      <c r="A26" s="10">
        <v>16</v>
      </c>
      <c r="B26" s="11"/>
      <c r="C26" s="36" t="s">
        <v>89</v>
      </c>
      <c r="D26" s="13" t="s">
        <v>27</v>
      </c>
      <c r="E26" s="13">
        <v>2024</v>
      </c>
      <c r="F26" s="14">
        <f t="shared" si="1"/>
        <v>0</v>
      </c>
      <c r="G26" s="15" t="str">
        <f t="shared" si="0"/>
        <v>E</v>
      </c>
      <c r="H26" s="32"/>
      <c r="I26" s="32"/>
      <c r="J26" s="32"/>
      <c r="K26" s="32"/>
      <c r="L26" s="33"/>
      <c r="M26" s="34"/>
    </row>
    <row r="27" spans="1:13" ht="15.75">
      <c r="A27" s="10">
        <v>17</v>
      </c>
      <c r="B27" s="11"/>
      <c r="C27" s="31" t="s">
        <v>92</v>
      </c>
      <c r="D27" s="13" t="s">
        <v>27</v>
      </c>
      <c r="E27" s="13">
        <v>2024</v>
      </c>
      <c r="F27" s="14">
        <f t="shared" si="1"/>
        <v>0</v>
      </c>
      <c r="G27" s="15" t="str">
        <f t="shared" si="0"/>
        <v>E</v>
      </c>
      <c r="H27" s="32"/>
      <c r="I27" s="32"/>
      <c r="J27" s="32"/>
      <c r="K27" s="32"/>
      <c r="L27" s="33"/>
      <c r="M27" s="34"/>
    </row>
    <row r="28" spans="1:13" ht="15.75">
      <c r="A28" s="10">
        <v>18</v>
      </c>
      <c r="B28" s="11"/>
      <c r="C28" s="31" t="s">
        <v>94</v>
      </c>
      <c r="D28" s="13" t="s">
        <v>27</v>
      </c>
      <c r="E28" s="13">
        <v>2024</v>
      </c>
      <c r="F28" s="14">
        <f t="shared" si="1"/>
        <v>0</v>
      </c>
      <c r="G28" s="15" t="str">
        <f t="shared" si="0"/>
        <v>E</v>
      </c>
      <c r="H28" s="32"/>
      <c r="I28" s="32"/>
      <c r="J28" s="32"/>
      <c r="K28" s="32"/>
      <c r="L28" s="33"/>
      <c r="M28" s="34"/>
    </row>
    <row r="29" spans="1:13" ht="15.75">
      <c r="A29" s="10">
        <v>19</v>
      </c>
      <c r="B29" s="11"/>
      <c r="C29" s="31" t="s">
        <v>96</v>
      </c>
      <c r="D29" s="13" t="s">
        <v>27</v>
      </c>
      <c r="E29" s="13">
        <v>2024</v>
      </c>
      <c r="F29" s="14">
        <f t="shared" si="1"/>
        <v>0</v>
      </c>
      <c r="G29" s="15" t="str">
        <f t="shared" si="0"/>
        <v>E</v>
      </c>
      <c r="H29" s="32"/>
      <c r="I29" s="32"/>
      <c r="J29" s="32"/>
      <c r="K29" s="32"/>
      <c r="L29" s="33"/>
      <c r="M29" s="34"/>
    </row>
    <row r="30" spans="1:13" ht="15.75">
      <c r="A30" s="10">
        <v>20</v>
      </c>
      <c r="B30" s="11"/>
      <c r="C30" s="31" t="s">
        <v>98</v>
      </c>
      <c r="D30" s="13" t="s">
        <v>27</v>
      </c>
      <c r="E30" s="13">
        <v>2024</v>
      </c>
      <c r="F30" s="14">
        <f t="shared" si="1"/>
        <v>0</v>
      </c>
      <c r="G30" s="15" t="str">
        <f t="shared" si="0"/>
        <v>E</v>
      </c>
      <c r="H30" s="32"/>
      <c r="I30" s="32"/>
      <c r="J30" s="32"/>
      <c r="K30" s="32"/>
      <c r="L30" s="33"/>
      <c r="M30" s="34"/>
    </row>
    <row r="31" spans="1:13" ht="15.75">
      <c r="A31" s="10">
        <v>21</v>
      </c>
      <c r="B31" s="11"/>
      <c r="C31" s="31" t="s">
        <v>100</v>
      </c>
      <c r="D31" s="13" t="s">
        <v>27</v>
      </c>
      <c r="E31" s="13">
        <v>2024</v>
      </c>
      <c r="F31" s="14">
        <f t="shared" si="1"/>
        <v>0</v>
      </c>
      <c r="G31" s="15" t="str">
        <f t="shared" si="0"/>
        <v>E</v>
      </c>
      <c r="H31" s="32"/>
      <c r="I31" s="32"/>
      <c r="J31" s="32"/>
      <c r="K31" s="32"/>
      <c r="L31" s="33"/>
      <c r="M31" s="34"/>
    </row>
    <row r="32" spans="1:13" ht="15.75">
      <c r="A32" s="10">
        <v>22</v>
      </c>
      <c r="B32" s="11"/>
      <c r="C32" s="31" t="s">
        <v>102</v>
      </c>
      <c r="D32" s="13" t="s">
        <v>27</v>
      </c>
      <c r="E32" s="13">
        <v>2024</v>
      </c>
      <c r="F32" s="14">
        <f t="shared" si="1"/>
        <v>0</v>
      </c>
      <c r="G32" s="15" t="str">
        <f t="shared" si="0"/>
        <v>E</v>
      </c>
      <c r="H32" s="32"/>
      <c r="I32" s="32"/>
      <c r="J32" s="32"/>
      <c r="K32" s="32"/>
      <c r="L32" s="33"/>
      <c r="M32" s="34"/>
    </row>
    <row r="33" spans="1:13" ht="15.75">
      <c r="A33" s="10">
        <v>23</v>
      </c>
      <c r="B33" s="11"/>
      <c r="C33" s="31" t="s">
        <v>104</v>
      </c>
      <c r="D33" s="13" t="s">
        <v>27</v>
      </c>
      <c r="E33" s="13">
        <v>2024</v>
      </c>
      <c r="F33" s="14">
        <f t="shared" si="1"/>
        <v>0</v>
      </c>
      <c r="G33" s="15" t="str">
        <f>IF(F33&gt;=81,"A",IF(F33&gt;66,"B",IF(F33&gt;=56,"C",IF(F33&gt;=46,"D",IF(F33&lt;46,"E")))))</f>
        <v>E</v>
      </c>
      <c r="H33" s="32"/>
      <c r="I33" s="32"/>
      <c r="J33" s="32"/>
      <c r="K33" s="32"/>
      <c r="L33" s="33"/>
      <c r="M33" s="34"/>
    </row>
    <row r="34" spans="1:13" ht="15.75">
      <c r="A34" s="10">
        <v>24</v>
      </c>
      <c r="B34" s="11"/>
      <c r="C34" s="31" t="s">
        <v>106</v>
      </c>
      <c r="D34" s="13" t="s">
        <v>27</v>
      </c>
      <c r="E34" s="13">
        <v>2024</v>
      </c>
      <c r="F34" s="14">
        <f t="shared" si="1"/>
        <v>0</v>
      </c>
      <c r="G34" s="15" t="str">
        <f t="shared" si="0"/>
        <v>E</v>
      </c>
      <c r="H34" s="32"/>
      <c r="I34" s="32"/>
      <c r="J34" s="32"/>
      <c r="K34" s="32"/>
      <c r="L34" s="33"/>
      <c r="M34" s="34"/>
    </row>
    <row r="35" spans="1:13" ht="15.75">
      <c r="A35" s="10">
        <v>25</v>
      </c>
      <c r="B35" s="11"/>
      <c r="C35" s="31" t="s">
        <v>108</v>
      </c>
      <c r="D35" s="13" t="s">
        <v>27</v>
      </c>
      <c r="E35" s="13">
        <v>2024</v>
      </c>
      <c r="F35" s="14">
        <f t="shared" si="1"/>
        <v>0</v>
      </c>
      <c r="G35" s="15" t="str">
        <f t="shared" si="0"/>
        <v>E</v>
      </c>
      <c r="H35" s="32"/>
      <c r="I35" s="32"/>
      <c r="J35" s="32"/>
      <c r="K35" s="32"/>
      <c r="L35" s="33"/>
      <c r="M35" s="34"/>
    </row>
    <row r="36" spans="1:13" ht="15.75">
      <c r="A36" s="10">
        <v>26</v>
      </c>
      <c r="B36" s="11"/>
      <c r="C36" s="31" t="s">
        <v>110</v>
      </c>
      <c r="D36" s="13" t="s">
        <v>27</v>
      </c>
      <c r="E36" s="13">
        <v>2024</v>
      </c>
      <c r="F36" s="14">
        <f t="shared" si="1"/>
        <v>0</v>
      </c>
      <c r="G36" s="15" t="str">
        <f t="shared" si="0"/>
        <v>E</v>
      </c>
      <c r="H36" s="32"/>
      <c r="I36" s="32"/>
      <c r="J36" s="32"/>
      <c r="K36" s="32"/>
      <c r="L36" s="33"/>
      <c r="M36" s="34"/>
    </row>
    <row r="37" spans="1:13" ht="15.75">
      <c r="A37" s="10">
        <v>27</v>
      </c>
      <c r="B37" s="11"/>
      <c r="C37" s="31" t="s">
        <v>112</v>
      </c>
      <c r="D37" s="13" t="s">
        <v>27</v>
      </c>
      <c r="E37" s="13">
        <v>2024</v>
      </c>
      <c r="F37" s="14">
        <f t="shared" si="1"/>
        <v>0</v>
      </c>
      <c r="G37" s="15" t="str">
        <f t="shared" si="0"/>
        <v>E</v>
      </c>
      <c r="H37" s="32"/>
      <c r="I37" s="32"/>
      <c r="J37" s="32"/>
      <c r="K37" s="32"/>
      <c r="L37" s="33"/>
      <c r="M37" s="34"/>
    </row>
    <row r="38" spans="1:13" ht="15.75">
      <c r="A38" s="10">
        <v>28</v>
      </c>
      <c r="B38" s="11"/>
      <c r="C38" s="31" t="s">
        <v>114</v>
      </c>
      <c r="D38" s="13" t="s">
        <v>27</v>
      </c>
      <c r="E38" s="13">
        <v>2024</v>
      </c>
      <c r="F38" s="14">
        <f t="shared" si="1"/>
        <v>0</v>
      </c>
      <c r="G38" s="15" t="str">
        <f t="shared" si="0"/>
        <v>E</v>
      </c>
      <c r="H38" s="32"/>
      <c r="I38" s="32"/>
      <c r="J38" s="32"/>
      <c r="K38" s="32"/>
      <c r="L38" s="33"/>
      <c r="M38" s="34"/>
    </row>
    <row r="39" spans="1:13" ht="15.75">
      <c r="A39" s="10">
        <v>29</v>
      </c>
      <c r="B39" s="11"/>
      <c r="C39" s="31" t="s">
        <v>116</v>
      </c>
      <c r="D39" s="13" t="s">
        <v>27</v>
      </c>
      <c r="E39" s="13">
        <v>2024</v>
      </c>
      <c r="F39" s="14">
        <f t="shared" si="1"/>
        <v>0</v>
      </c>
      <c r="G39" s="15" t="str">
        <f t="shared" si="0"/>
        <v>E</v>
      </c>
      <c r="H39" s="32"/>
      <c r="I39" s="32"/>
      <c r="J39" s="32"/>
      <c r="K39" s="32"/>
      <c r="L39" s="33"/>
      <c r="M39" s="34"/>
    </row>
    <row r="40" spans="1:13" ht="15.75">
      <c r="A40" s="10">
        <v>30</v>
      </c>
      <c r="B40" s="11"/>
      <c r="C40" s="31" t="s">
        <v>118</v>
      </c>
      <c r="D40" s="13" t="s">
        <v>27</v>
      </c>
      <c r="E40" s="13">
        <v>2024</v>
      </c>
      <c r="F40" s="14">
        <f t="shared" si="1"/>
        <v>0</v>
      </c>
      <c r="G40" s="15" t="str">
        <f t="shared" si="0"/>
        <v>E</v>
      </c>
      <c r="H40" s="32"/>
      <c r="I40" s="32"/>
      <c r="J40" s="32"/>
      <c r="K40" s="32"/>
      <c r="L40" s="33"/>
      <c r="M40" s="34"/>
    </row>
    <row r="41" spans="1:13" ht="15.75">
      <c r="A41" s="10">
        <v>31</v>
      </c>
      <c r="B41" s="11"/>
      <c r="C41" s="31" t="s">
        <v>120</v>
      </c>
      <c r="D41" s="13" t="s">
        <v>27</v>
      </c>
      <c r="E41" s="13">
        <v>2024</v>
      </c>
      <c r="F41" s="14">
        <f t="shared" si="1"/>
        <v>0</v>
      </c>
      <c r="G41" s="15" t="str">
        <f t="shared" si="0"/>
        <v>E</v>
      </c>
      <c r="H41" s="32"/>
      <c r="I41" s="32"/>
      <c r="J41" s="32"/>
      <c r="K41" s="32"/>
      <c r="L41" s="33"/>
      <c r="M41" s="34"/>
    </row>
    <row r="42" spans="1:13" ht="15.75">
      <c r="A42" s="10">
        <v>32</v>
      </c>
      <c r="B42" s="11"/>
      <c r="C42" s="31" t="s">
        <v>122</v>
      </c>
      <c r="D42" s="13" t="s">
        <v>27</v>
      </c>
      <c r="E42" s="13">
        <v>2024</v>
      </c>
      <c r="F42" s="14">
        <f t="shared" si="1"/>
        <v>0</v>
      </c>
      <c r="G42" s="15" t="str">
        <f t="shared" si="0"/>
        <v>E</v>
      </c>
      <c r="H42" s="32"/>
      <c r="I42" s="32"/>
      <c r="J42" s="32"/>
      <c r="K42" s="32"/>
      <c r="L42" s="33"/>
      <c r="M42" s="34"/>
    </row>
    <row r="43" spans="1:13" ht="15.75">
      <c r="A43" s="10">
        <v>33</v>
      </c>
      <c r="B43" s="11"/>
      <c r="C43" s="31" t="s">
        <v>123</v>
      </c>
      <c r="D43" s="13" t="s">
        <v>27</v>
      </c>
      <c r="E43" s="13">
        <v>2024</v>
      </c>
      <c r="F43" s="14">
        <f t="shared" si="1"/>
        <v>0</v>
      </c>
      <c r="G43" s="15" t="str">
        <f t="shared" si="0"/>
        <v>E</v>
      </c>
      <c r="H43" s="32"/>
      <c r="I43" s="32"/>
      <c r="J43" s="32"/>
      <c r="K43" s="32"/>
      <c r="L43" s="33"/>
      <c r="M43" s="34"/>
    </row>
    <row r="44" spans="1:13" ht="15.75">
      <c r="A44" s="10">
        <v>34</v>
      </c>
      <c r="B44" s="11"/>
      <c r="C44" s="31" t="s">
        <v>124</v>
      </c>
      <c r="D44" s="13" t="s">
        <v>27</v>
      </c>
      <c r="E44" s="13">
        <v>2024</v>
      </c>
      <c r="F44" s="14">
        <f t="shared" si="1"/>
        <v>0</v>
      </c>
      <c r="G44" s="15" t="str">
        <f t="shared" si="0"/>
        <v>E</v>
      </c>
      <c r="H44" s="32"/>
      <c r="I44" s="32"/>
      <c r="J44" s="32"/>
      <c r="K44" s="32"/>
      <c r="L44" s="33"/>
      <c r="M44" s="34"/>
    </row>
    <row r="45" spans="1:13" ht="15.75">
      <c r="A45" s="10">
        <v>35</v>
      </c>
      <c r="B45" s="11"/>
      <c r="C45" s="31" t="s">
        <v>125</v>
      </c>
      <c r="D45" s="13" t="s">
        <v>27</v>
      </c>
      <c r="E45" s="13">
        <v>2024</v>
      </c>
      <c r="F45" s="14">
        <f t="shared" si="1"/>
        <v>0</v>
      </c>
      <c r="G45" s="15" t="str">
        <f t="shared" si="0"/>
        <v>E</v>
      </c>
      <c r="H45" s="32"/>
      <c r="I45" s="32"/>
      <c r="J45" s="32"/>
      <c r="K45" s="32"/>
      <c r="L45" s="33"/>
      <c r="M45" s="34"/>
    </row>
    <row r="46" spans="1:13" ht="15.75">
      <c r="A46" s="10">
        <v>36</v>
      </c>
      <c r="B46" s="11"/>
      <c r="C46" s="31" t="s">
        <v>126</v>
      </c>
      <c r="D46" s="13" t="s">
        <v>27</v>
      </c>
      <c r="E46" s="13">
        <v>2024</v>
      </c>
      <c r="F46" s="14">
        <f t="shared" si="1"/>
        <v>0</v>
      </c>
      <c r="G46" s="15" t="str">
        <f t="shared" si="0"/>
        <v>E</v>
      </c>
      <c r="H46" s="32"/>
      <c r="I46" s="32"/>
      <c r="J46" s="32"/>
      <c r="K46" s="32"/>
      <c r="L46" s="33"/>
      <c r="M46" s="34"/>
    </row>
    <row r="47" spans="1:13" ht="15.75">
      <c r="A47" s="10">
        <v>37</v>
      </c>
      <c r="B47" s="11"/>
      <c r="C47" s="31" t="s">
        <v>127</v>
      </c>
      <c r="D47" s="13" t="s">
        <v>27</v>
      </c>
      <c r="E47" s="13">
        <v>2024</v>
      </c>
      <c r="F47" s="14">
        <f t="shared" si="1"/>
        <v>0</v>
      </c>
      <c r="G47" s="15" t="str">
        <f t="shared" si="0"/>
        <v>E</v>
      </c>
      <c r="H47" s="32"/>
      <c r="I47" s="32"/>
      <c r="J47" s="32"/>
      <c r="K47" s="32"/>
      <c r="L47" s="33"/>
      <c r="M47" s="34"/>
    </row>
    <row r="48" spans="1:13" ht="15.75">
      <c r="A48" s="10">
        <v>38</v>
      </c>
      <c r="B48" s="11"/>
      <c r="C48" s="31" t="s">
        <v>128</v>
      </c>
      <c r="D48" s="13" t="s">
        <v>27</v>
      </c>
      <c r="E48" s="13">
        <v>2024</v>
      </c>
      <c r="F48" s="14">
        <f t="shared" si="1"/>
        <v>0</v>
      </c>
      <c r="G48" s="15" t="str">
        <f t="shared" si="0"/>
        <v>E</v>
      </c>
      <c r="H48" s="32"/>
      <c r="I48" s="32"/>
      <c r="J48" s="32"/>
      <c r="K48" s="32"/>
      <c r="L48" s="33"/>
      <c r="M48" s="34"/>
    </row>
    <row r="49" spans="1:13" ht="15.75">
      <c r="A49" s="10">
        <v>39</v>
      </c>
      <c r="B49" s="11"/>
      <c r="C49" s="31" t="s">
        <v>129</v>
      </c>
      <c r="D49" s="13" t="s">
        <v>27</v>
      </c>
      <c r="E49" s="13">
        <v>2024</v>
      </c>
      <c r="F49" s="14">
        <f t="shared" si="1"/>
        <v>0</v>
      </c>
      <c r="G49" s="15" t="str">
        <f t="shared" si="0"/>
        <v>E</v>
      </c>
      <c r="H49" s="32"/>
      <c r="I49" s="32"/>
      <c r="J49" s="32"/>
      <c r="K49" s="32"/>
      <c r="L49" s="33"/>
      <c r="M49" s="34"/>
    </row>
    <row r="50" spans="1:13" ht="15.75">
      <c r="A50" s="10">
        <v>40</v>
      </c>
      <c r="B50" s="11"/>
      <c r="C50" s="31" t="s">
        <v>130</v>
      </c>
      <c r="D50" s="13" t="s">
        <v>27</v>
      </c>
      <c r="E50" s="13">
        <v>2024</v>
      </c>
      <c r="F50" s="14">
        <f t="shared" si="1"/>
        <v>0</v>
      </c>
      <c r="G50" s="15" t="str">
        <f t="shared" si="0"/>
        <v>E</v>
      </c>
      <c r="H50" s="32"/>
      <c r="I50" s="32"/>
      <c r="J50" s="32"/>
      <c r="K50" s="32"/>
      <c r="L50" s="33"/>
      <c r="M50" s="34"/>
    </row>
    <row r="51" spans="1:13" ht="15.75">
      <c r="A51" s="10">
        <v>41</v>
      </c>
      <c r="B51" s="11"/>
      <c r="C51" s="31" t="s">
        <v>131</v>
      </c>
      <c r="D51" s="13" t="s">
        <v>27</v>
      </c>
      <c r="E51" s="13">
        <v>2024</v>
      </c>
      <c r="F51" s="14">
        <f t="shared" si="1"/>
        <v>0</v>
      </c>
      <c r="G51" s="15" t="str">
        <f t="shared" si="0"/>
        <v>E</v>
      </c>
      <c r="H51" s="32"/>
      <c r="I51" s="32"/>
      <c r="J51" s="32"/>
      <c r="K51" s="32"/>
      <c r="L51" s="33"/>
      <c r="M51" s="34"/>
    </row>
    <row r="52" spans="1:13" ht="15.75">
      <c r="A52" s="25"/>
      <c r="B52" s="25"/>
      <c r="C52" s="3"/>
      <c r="D52" s="25"/>
      <c r="E52" s="25"/>
      <c r="F52" s="25"/>
      <c r="G52" s="25"/>
      <c r="H52" s="26"/>
      <c r="I52" s="26"/>
      <c r="J52" s="26"/>
      <c r="K52" s="26"/>
      <c r="L52" s="26"/>
      <c r="M52" s="26"/>
    </row>
    <row r="53" spans="1:13" ht="15.75">
      <c r="A53" s="5" t="s">
        <v>50</v>
      </c>
      <c r="B53" s="3"/>
      <c r="C53" s="3"/>
      <c r="D53" s="3"/>
      <c r="E53" s="3"/>
      <c r="F53" s="25"/>
      <c r="G53" s="25"/>
      <c r="H53" s="3"/>
      <c r="I53" s="25"/>
      <c r="J53" s="3"/>
      <c r="K53" s="3"/>
      <c r="L53" s="3"/>
      <c r="M53" s="26"/>
    </row>
    <row r="54" spans="1:13" ht="15.75">
      <c r="A54" s="27" t="s">
        <v>12</v>
      </c>
      <c r="B54" s="27" t="s">
        <v>51</v>
      </c>
      <c r="C54" s="27" t="s">
        <v>18</v>
      </c>
      <c r="D54" s="27" t="s">
        <v>52</v>
      </c>
      <c r="E54" s="25"/>
      <c r="F54" s="25"/>
      <c r="G54" s="3"/>
      <c r="H54" s="28"/>
      <c r="I54" s="25"/>
      <c r="J54" s="3"/>
      <c r="K54" s="3"/>
      <c r="L54" s="26"/>
      <c r="M54" s="29"/>
    </row>
    <row r="55" spans="1:13" ht="15.75">
      <c r="A55" s="13">
        <v>1</v>
      </c>
      <c r="B55" s="13" t="s">
        <v>53</v>
      </c>
      <c r="C55" s="13" t="s">
        <v>54</v>
      </c>
      <c r="D55" s="30" t="s">
        <v>55</v>
      </c>
      <c r="E55" s="25"/>
      <c r="F55" s="25"/>
      <c r="G55" s="3"/>
      <c r="H55" s="28"/>
      <c r="I55" s="3"/>
      <c r="J55" s="3"/>
      <c r="K55" s="3"/>
      <c r="L55" s="26"/>
      <c r="M55" s="29"/>
    </row>
    <row r="56" spans="1:13" ht="15.75">
      <c r="A56" s="13">
        <v>3</v>
      </c>
      <c r="B56" s="13" t="s">
        <v>56</v>
      </c>
      <c r="C56" s="13" t="s">
        <v>57</v>
      </c>
      <c r="D56" s="13" t="s">
        <v>58</v>
      </c>
      <c r="E56" s="25"/>
      <c r="F56" s="25"/>
      <c r="G56" s="3"/>
      <c r="H56" s="28"/>
      <c r="I56" s="3"/>
      <c r="J56" s="3"/>
      <c r="K56" s="3"/>
      <c r="L56" s="26"/>
      <c r="M56" s="29"/>
    </row>
    <row r="57" spans="1:13" ht="15.75">
      <c r="A57" s="13">
        <v>5</v>
      </c>
      <c r="B57" s="13" t="s">
        <v>59</v>
      </c>
      <c r="C57" s="13" t="s">
        <v>60</v>
      </c>
      <c r="D57" s="13" t="s">
        <v>61</v>
      </c>
      <c r="E57" s="25"/>
      <c r="F57" s="25"/>
      <c r="G57" s="3"/>
      <c r="H57" s="3"/>
      <c r="I57" s="3"/>
      <c r="J57" s="3"/>
      <c r="K57" s="3"/>
      <c r="L57" s="26"/>
      <c r="M57" s="29"/>
    </row>
    <row r="58" spans="1:13" ht="15.75">
      <c r="A58" s="13">
        <v>7</v>
      </c>
      <c r="B58" s="13" t="s">
        <v>62</v>
      </c>
      <c r="C58" s="13" t="s">
        <v>63</v>
      </c>
      <c r="D58" s="13" t="s">
        <v>64</v>
      </c>
      <c r="E58" s="25"/>
      <c r="F58" s="25"/>
      <c r="G58" s="26"/>
      <c r="H58" s="26"/>
      <c r="I58" s="1"/>
      <c r="J58" s="26"/>
      <c r="K58" s="26"/>
      <c r="L58" s="26"/>
      <c r="M58" s="29"/>
    </row>
    <row r="59" spans="1:13" ht="15.75">
      <c r="A59" s="13">
        <v>9</v>
      </c>
      <c r="B59" s="13" t="s">
        <v>65</v>
      </c>
      <c r="C59" s="13" t="s">
        <v>66</v>
      </c>
      <c r="D59" s="13" t="s">
        <v>67</v>
      </c>
      <c r="E59" s="25"/>
      <c r="F59" s="25"/>
      <c r="G59" s="26"/>
      <c r="H59" s="26"/>
      <c r="I59" s="1"/>
      <c r="J59" s="26"/>
      <c r="K59" s="26"/>
      <c r="L59" s="26"/>
      <c r="M59" s="29"/>
    </row>
    <row r="60" spans="1:13" ht="15.75">
      <c r="A60" s="25"/>
      <c r="B60" s="25"/>
      <c r="C60" s="3"/>
      <c r="D60" s="25"/>
      <c r="E60" s="25"/>
      <c r="F60" s="25"/>
      <c r="G60" s="25"/>
      <c r="H60" s="26"/>
      <c r="I60" s="26"/>
      <c r="J60" s="26"/>
      <c r="K60" s="26"/>
      <c r="L60" s="26"/>
      <c r="M60" s="26"/>
    </row>
  </sheetData>
  <mergeCells count="5">
    <mergeCell ref="A2:M2"/>
    <mergeCell ref="A3:M3"/>
    <mergeCell ref="A9:E9"/>
    <mergeCell ref="F9:G9"/>
    <mergeCell ref="H9:M9"/>
  </mergeCells>
  <dataValidations count="1">
    <dataValidation allowBlank="1" showInputMessage="1" showErrorMessage="1" promptTitle="Keterangan :" prompt="Nilai = AP 10%+HP 15%+KPQ 10%+KPT 15%+KP UTS 25%+KP UAS 25%" sqref="L11:L51" xr:uid="{00000000-0002-0000-0000-000000000000}"/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6"/>
  <sheetViews>
    <sheetView topLeftCell="A5" workbookViewId="0">
      <selection activeCell="I20" sqref="A1:XFD1048576"/>
    </sheetView>
  </sheetViews>
  <sheetFormatPr defaultRowHeight="15"/>
  <cols>
    <col min="2" max="2" width="11.42578125" customWidth="1"/>
    <col min="3" max="3" width="23.28515625" customWidth="1"/>
    <col min="4" max="4" width="18.42578125" customWidth="1"/>
    <col min="5" max="5" width="11.85546875" customWidth="1"/>
    <col min="8" max="8" width="13.5703125" customWidth="1"/>
    <col min="9" max="9" width="10" customWidth="1"/>
    <col min="10" max="10" width="16.140625" customWidth="1"/>
    <col min="11" max="11" width="12.42578125" customWidth="1"/>
    <col min="12" max="12" width="7.85546875" customWidth="1"/>
    <col min="13" max="13" width="7.7109375" customWidth="1"/>
  </cols>
  <sheetData>
    <row r="2" spans="1:13" ht="15.75">
      <c r="A2" s="125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15.7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</row>
    <row r="4" spans="1:13" ht="15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>
      <c r="A5" s="55" t="s">
        <v>0</v>
      </c>
      <c r="B5" s="6"/>
      <c r="C5" s="56"/>
      <c r="D5" s="56"/>
      <c r="E5" s="56"/>
      <c r="F5" s="56"/>
      <c r="G5" s="56"/>
      <c r="H5" s="56"/>
      <c r="I5" s="56"/>
      <c r="J5" s="56"/>
      <c r="K5" s="38"/>
      <c r="L5" s="38"/>
      <c r="M5" s="38"/>
    </row>
    <row r="6" spans="1:13" ht="15.75">
      <c r="A6" s="6" t="s">
        <v>1</v>
      </c>
      <c r="B6" s="6"/>
      <c r="C6" s="6" t="s">
        <v>5</v>
      </c>
      <c r="D6" s="6"/>
      <c r="E6" s="6" t="s">
        <v>2</v>
      </c>
      <c r="F6" s="6"/>
      <c r="G6" s="6" t="s">
        <v>132</v>
      </c>
      <c r="H6" s="6"/>
      <c r="I6" s="6"/>
      <c r="J6" s="6"/>
      <c r="K6" s="37"/>
      <c r="L6" s="37"/>
      <c r="M6" s="37"/>
    </row>
    <row r="7" spans="1:13" ht="15.75">
      <c r="A7" s="6" t="s">
        <v>4</v>
      </c>
      <c r="B7" s="6"/>
      <c r="C7" s="6" t="s">
        <v>133</v>
      </c>
      <c r="D7" s="6"/>
      <c r="E7" s="6" t="s">
        <v>6</v>
      </c>
      <c r="F7" s="6"/>
      <c r="G7" s="6" t="s">
        <v>5</v>
      </c>
      <c r="H7" s="6"/>
      <c r="I7" s="6"/>
      <c r="J7" s="6"/>
      <c r="K7" s="37"/>
      <c r="L7" s="37"/>
      <c r="M7" s="37"/>
    </row>
    <row r="8" spans="1:13" ht="15.75">
      <c r="A8" s="6" t="s">
        <v>7</v>
      </c>
      <c r="B8" s="6"/>
      <c r="C8" s="6" t="s">
        <v>5</v>
      </c>
      <c r="D8" s="6"/>
      <c r="E8" s="6" t="s">
        <v>8</v>
      </c>
      <c r="F8" s="6"/>
      <c r="G8" s="6" t="s">
        <v>5</v>
      </c>
      <c r="H8" s="6"/>
      <c r="I8" s="6"/>
      <c r="J8" s="6"/>
      <c r="K8" s="37"/>
      <c r="L8" s="37"/>
      <c r="M8" s="37"/>
    </row>
    <row r="9" spans="1:13" ht="15.75">
      <c r="A9" s="132" t="s">
        <v>9</v>
      </c>
      <c r="B9" s="133"/>
      <c r="C9" s="133"/>
      <c r="D9" s="133"/>
      <c r="E9" s="134"/>
      <c r="F9" s="135" t="s">
        <v>10</v>
      </c>
      <c r="G9" s="134"/>
      <c r="H9" s="136" t="s">
        <v>11</v>
      </c>
      <c r="I9" s="133"/>
      <c r="J9" s="133"/>
      <c r="K9" s="133"/>
      <c r="L9" s="133"/>
      <c r="M9" s="134"/>
    </row>
    <row r="10" spans="1:13" ht="31.5">
      <c r="A10" s="39" t="s">
        <v>12</v>
      </c>
      <c r="B10" s="39" t="s">
        <v>13</v>
      </c>
      <c r="C10" s="39" t="s">
        <v>14</v>
      </c>
      <c r="D10" s="39" t="s">
        <v>15</v>
      </c>
      <c r="E10" s="39" t="s">
        <v>16</v>
      </c>
      <c r="F10" s="40" t="s">
        <v>17</v>
      </c>
      <c r="G10" s="40" t="s">
        <v>18</v>
      </c>
      <c r="H10" s="41" t="s">
        <v>19</v>
      </c>
      <c r="I10" s="42" t="s">
        <v>20</v>
      </c>
      <c r="J10" s="41" t="s">
        <v>21</v>
      </c>
      <c r="K10" s="41" t="s">
        <v>22</v>
      </c>
      <c r="L10" s="42" t="s">
        <v>23</v>
      </c>
      <c r="M10" s="41" t="s">
        <v>24</v>
      </c>
    </row>
    <row r="11" spans="1:13" ht="15.75">
      <c r="A11" s="43" t="s">
        <v>25</v>
      </c>
      <c r="B11" s="44"/>
      <c r="C11" s="45" t="s">
        <v>134</v>
      </c>
      <c r="D11" s="46" t="s">
        <v>135</v>
      </c>
      <c r="E11" s="46">
        <v>2024</v>
      </c>
      <c r="F11" s="47">
        <f>(H11*20%)+(I11*10%)+(J11*10%)+(K11*10%)+(L11*20%)+(M11*30%)</f>
        <v>0</v>
      </c>
      <c r="G11" s="48" t="str">
        <f>IF(F11&gt;=81,"A",IF(F11&gt;66,"B",IF(F11&gt;=56,"C",IF(F11&gt;=46,"D",IF(F11&lt;46,"E")))))</f>
        <v>E</v>
      </c>
      <c r="H11" s="34"/>
      <c r="I11" s="49"/>
      <c r="J11" s="34"/>
      <c r="K11" s="50"/>
      <c r="L11" s="51"/>
      <c r="M11" s="34"/>
    </row>
    <row r="12" spans="1:13" ht="15.75">
      <c r="A12" s="43" t="s">
        <v>28</v>
      </c>
      <c r="B12" s="44"/>
      <c r="C12" s="45" t="s">
        <v>136</v>
      </c>
      <c r="D12" s="46" t="s">
        <v>135</v>
      </c>
      <c r="E12" s="52">
        <v>2024</v>
      </c>
      <c r="F12" s="47">
        <f t="shared" ref="F12:F17" si="0">(H12*20%)+(I12*10%)+(J12*10%)+(K12*10%)+(L12*20%)+(M12*30%)</f>
        <v>0</v>
      </c>
      <c r="G12" s="48" t="str">
        <f t="shared" ref="G12:G17" si="1">IF(F12&gt;=81,"A",IF(F12&gt;66,"B",IF(F12&gt;=56,"C",IF(F12&gt;=46,"D",IF(F12&lt;46,"E")))))</f>
        <v>E</v>
      </c>
      <c r="H12" s="34"/>
      <c r="I12" s="53"/>
      <c r="J12" s="34"/>
      <c r="K12" s="50"/>
      <c r="L12" s="51"/>
      <c r="M12" s="34"/>
    </row>
    <row r="13" spans="1:13" ht="15.75">
      <c r="A13" s="43" t="s">
        <v>30</v>
      </c>
      <c r="B13" s="44"/>
      <c r="C13" s="45" t="s">
        <v>137</v>
      </c>
      <c r="D13" s="46" t="s">
        <v>135</v>
      </c>
      <c r="E13" s="52">
        <v>2024</v>
      </c>
      <c r="F13" s="47">
        <f t="shared" si="0"/>
        <v>0</v>
      </c>
      <c r="G13" s="48" t="str">
        <f t="shared" si="1"/>
        <v>E</v>
      </c>
      <c r="H13" s="34"/>
      <c r="I13" s="53"/>
      <c r="J13" s="34"/>
      <c r="K13" s="50"/>
      <c r="L13" s="51"/>
      <c r="M13" s="34"/>
    </row>
    <row r="14" spans="1:13" ht="15.75">
      <c r="A14" s="43" t="s">
        <v>32</v>
      </c>
      <c r="B14" s="44"/>
      <c r="C14" s="45" t="s">
        <v>138</v>
      </c>
      <c r="D14" s="46" t="s">
        <v>135</v>
      </c>
      <c r="E14" s="52">
        <v>2024</v>
      </c>
      <c r="F14" s="47">
        <f t="shared" si="0"/>
        <v>0</v>
      </c>
      <c r="G14" s="48" t="str">
        <f t="shared" si="1"/>
        <v>E</v>
      </c>
      <c r="H14" s="34"/>
      <c r="I14" s="53"/>
      <c r="J14" s="34"/>
      <c r="K14" s="50"/>
      <c r="L14" s="51"/>
      <c r="M14" s="34"/>
    </row>
    <row r="15" spans="1:13" ht="15.75">
      <c r="A15" s="43" t="s">
        <v>34</v>
      </c>
      <c r="B15" s="44"/>
      <c r="C15" s="45" t="s">
        <v>139</v>
      </c>
      <c r="D15" s="46" t="s">
        <v>135</v>
      </c>
      <c r="E15" s="52">
        <v>2024</v>
      </c>
      <c r="F15" s="47">
        <f t="shared" si="0"/>
        <v>0</v>
      </c>
      <c r="G15" s="48" t="str">
        <f t="shared" si="1"/>
        <v>E</v>
      </c>
      <c r="H15" s="34"/>
      <c r="I15" s="53"/>
      <c r="J15" s="34"/>
      <c r="K15" s="50"/>
      <c r="L15" s="51"/>
      <c r="M15" s="34"/>
    </row>
    <row r="16" spans="1:13" ht="15.75">
      <c r="A16" s="43" t="s">
        <v>36</v>
      </c>
      <c r="B16" s="44"/>
      <c r="C16" s="45" t="s">
        <v>140</v>
      </c>
      <c r="D16" s="46" t="s">
        <v>135</v>
      </c>
      <c r="E16" s="52">
        <v>2024</v>
      </c>
      <c r="F16" s="47">
        <f t="shared" si="0"/>
        <v>0</v>
      </c>
      <c r="G16" s="48" t="str">
        <f t="shared" si="1"/>
        <v>E</v>
      </c>
      <c r="H16" s="34"/>
      <c r="I16" s="53"/>
      <c r="J16" s="34"/>
      <c r="K16" s="50"/>
      <c r="L16" s="51"/>
      <c r="M16" s="34"/>
    </row>
    <row r="17" spans="1:13" ht="15.75">
      <c r="A17" s="43" t="s">
        <v>38</v>
      </c>
      <c r="B17" s="44"/>
      <c r="C17" s="45" t="s">
        <v>141</v>
      </c>
      <c r="D17" s="46" t="s">
        <v>135</v>
      </c>
      <c r="E17" s="52">
        <v>2024</v>
      </c>
      <c r="F17" s="47">
        <f t="shared" si="0"/>
        <v>0</v>
      </c>
      <c r="G17" s="48" t="str">
        <f t="shared" si="1"/>
        <v>E</v>
      </c>
      <c r="H17" s="34"/>
      <c r="I17" s="53"/>
      <c r="J17" s="34"/>
      <c r="K17" s="50"/>
      <c r="L17" s="51"/>
      <c r="M17" s="34"/>
    </row>
    <row r="18" spans="1:13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</row>
    <row r="19" spans="1:13" ht="15.75">
      <c r="A19" s="25"/>
      <c r="B19" s="25"/>
      <c r="C19" s="3"/>
      <c r="D19" s="25"/>
      <c r="E19" s="25"/>
      <c r="F19" s="25"/>
      <c r="G19" s="25"/>
      <c r="H19" s="26"/>
      <c r="I19" s="26"/>
      <c r="J19" s="26"/>
      <c r="K19" s="26"/>
      <c r="L19" s="26"/>
      <c r="M19" s="26"/>
    </row>
    <row r="20" spans="1:13" ht="15.75">
      <c r="A20" s="5" t="s">
        <v>50</v>
      </c>
      <c r="B20" s="3"/>
      <c r="C20" s="3"/>
      <c r="D20" s="3"/>
      <c r="E20" s="3"/>
      <c r="F20" s="25"/>
      <c r="G20" s="25"/>
      <c r="H20" s="3"/>
      <c r="I20" s="25"/>
      <c r="J20" s="3"/>
      <c r="K20" s="3"/>
      <c r="L20" s="3"/>
      <c r="M20" s="26"/>
    </row>
    <row r="21" spans="1:13" ht="15.75">
      <c r="A21" s="27" t="s">
        <v>12</v>
      </c>
      <c r="B21" s="27" t="s">
        <v>51</v>
      </c>
      <c r="C21" s="27" t="s">
        <v>18</v>
      </c>
      <c r="D21" s="27" t="s">
        <v>52</v>
      </c>
      <c r="E21" s="25"/>
      <c r="F21" s="25"/>
      <c r="G21" s="3"/>
      <c r="H21" s="28"/>
      <c r="I21" s="25"/>
      <c r="J21" s="3"/>
      <c r="K21" s="3"/>
      <c r="L21" s="26"/>
      <c r="M21" s="29"/>
    </row>
    <row r="22" spans="1:13" ht="15.75">
      <c r="A22" s="13">
        <v>1</v>
      </c>
      <c r="B22" s="13" t="s">
        <v>53</v>
      </c>
      <c r="C22" s="13" t="s">
        <v>54</v>
      </c>
      <c r="D22" s="30" t="s">
        <v>55</v>
      </c>
      <c r="E22" s="25"/>
      <c r="F22" s="25"/>
      <c r="G22" s="3"/>
      <c r="H22" s="28"/>
      <c r="I22" s="3"/>
      <c r="J22" s="3"/>
      <c r="K22" s="3"/>
      <c r="L22" s="26"/>
      <c r="M22" s="29"/>
    </row>
    <row r="23" spans="1:13" ht="15.75">
      <c r="A23" s="13">
        <v>3</v>
      </c>
      <c r="B23" s="13" t="s">
        <v>56</v>
      </c>
      <c r="C23" s="13" t="s">
        <v>57</v>
      </c>
      <c r="D23" s="13" t="s">
        <v>58</v>
      </c>
      <c r="E23" s="25"/>
      <c r="F23" s="25"/>
      <c r="G23" s="3"/>
      <c r="H23" s="28"/>
      <c r="I23" s="3"/>
      <c r="J23" s="3"/>
      <c r="K23" s="3"/>
      <c r="L23" s="26"/>
      <c r="M23" s="29"/>
    </row>
    <row r="24" spans="1:13" ht="15.75">
      <c r="A24" s="13">
        <v>5</v>
      </c>
      <c r="B24" s="13" t="s">
        <v>59</v>
      </c>
      <c r="C24" s="13" t="s">
        <v>60</v>
      </c>
      <c r="D24" s="13" t="s">
        <v>61</v>
      </c>
      <c r="E24" s="25"/>
      <c r="F24" s="25"/>
      <c r="G24" s="3"/>
      <c r="H24" s="3"/>
      <c r="I24" s="3"/>
      <c r="J24" s="3"/>
      <c r="K24" s="3"/>
      <c r="L24" s="26"/>
      <c r="M24" s="29"/>
    </row>
    <row r="25" spans="1:13" ht="15.75">
      <c r="A25" s="13">
        <v>7</v>
      </c>
      <c r="B25" s="13" t="s">
        <v>62</v>
      </c>
      <c r="C25" s="13" t="s">
        <v>63</v>
      </c>
      <c r="D25" s="13" t="s">
        <v>64</v>
      </c>
      <c r="E25" s="25"/>
      <c r="F25" s="25"/>
      <c r="G25" s="26"/>
      <c r="H25" s="26"/>
      <c r="I25" s="1"/>
      <c r="J25" s="26"/>
      <c r="K25" s="26"/>
      <c r="L25" s="26"/>
      <c r="M25" s="29"/>
    </row>
    <row r="26" spans="1:13" ht="15.75">
      <c r="A26" s="13">
        <v>9</v>
      </c>
      <c r="B26" s="13" t="s">
        <v>65</v>
      </c>
      <c r="C26" s="13" t="s">
        <v>66</v>
      </c>
      <c r="D26" s="13" t="s">
        <v>67</v>
      </c>
      <c r="E26" s="25"/>
      <c r="F26" s="25"/>
      <c r="G26" s="26"/>
      <c r="H26" s="26"/>
      <c r="I26" s="1"/>
      <c r="J26" s="26"/>
      <c r="K26" s="26"/>
      <c r="L26" s="26"/>
      <c r="M26" s="29"/>
    </row>
  </sheetData>
  <mergeCells count="5">
    <mergeCell ref="A2:M2"/>
    <mergeCell ref="A3:M3"/>
    <mergeCell ref="A9:E9"/>
    <mergeCell ref="F9:G9"/>
    <mergeCell ref="H9:M9"/>
  </mergeCells>
  <dataValidations count="1">
    <dataValidation allowBlank="1" showInputMessage="1" showErrorMessage="1" promptTitle="Keterangan :" prompt="Nilai = AP 10%+HP 15%+KPQ 10%+KPT 15%+KP UTS 25%+KP UAS 25%" sqref="L11:L17" xr:uid="{00000000-0002-0000-0100-000000000000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8"/>
  <sheetViews>
    <sheetView workbookViewId="0">
      <selection activeCell="L13" sqref="L13"/>
    </sheetView>
  </sheetViews>
  <sheetFormatPr defaultRowHeight="15"/>
  <cols>
    <col min="1" max="1" width="4.28515625" customWidth="1"/>
    <col min="2" max="2" width="21.140625" customWidth="1"/>
    <col min="3" max="3" width="1.140625" customWidth="1"/>
    <col min="4" max="4" width="26.5703125" customWidth="1"/>
    <col min="5" max="5" width="19.5703125" customWidth="1"/>
    <col min="6" max="6" width="11.85546875" customWidth="1"/>
    <col min="9" max="14" width="16.42578125" customWidth="1"/>
  </cols>
  <sheetData>
    <row r="1" spans="1:14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</row>
    <row r="2" spans="1:14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4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14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1:14">
      <c r="A5" s="139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</row>
    <row r="6" spans="1:14">
      <c r="A6" s="57"/>
      <c r="B6" s="58" t="s">
        <v>1</v>
      </c>
      <c r="C6" s="58" t="s">
        <v>133</v>
      </c>
      <c r="D6" s="58"/>
      <c r="E6" s="57"/>
      <c r="F6" s="57"/>
      <c r="G6" s="57"/>
      <c r="H6" s="57"/>
      <c r="I6" s="57"/>
      <c r="J6" s="57"/>
      <c r="K6" s="57"/>
      <c r="L6" s="57"/>
      <c r="M6" s="57"/>
      <c r="N6" s="57"/>
    </row>
    <row r="7" spans="1:14">
      <c r="A7" s="57"/>
      <c r="B7" s="58" t="s">
        <v>2</v>
      </c>
      <c r="C7" s="58" t="s">
        <v>133</v>
      </c>
      <c r="D7" s="58" t="s">
        <v>27</v>
      </c>
      <c r="E7" s="57"/>
      <c r="F7" s="57"/>
      <c r="G7" s="57"/>
      <c r="H7" s="57"/>
      <c r="I7" s="57"/>
      <c r="J7" s="57"/>
      <c r="K7" s="57"/>
      <c r="L7" s="57"/>
      <c r="M7" s="57"/>
      <c r="N7" s="57"/>
    </row>
    <row r="8" spans="1:14">
      <c r="A8" s="59"/>
      <c r="B8" s="58" t="s">
        <v>6</v>
      </c>
      <c r="C8" s="58" t="s">
        <v>133</v>
      </c>
      <c r="D8" s="58"/>
      <c r="I8" s="60"/>
      <c r="J8" s="61"/>
      <c r="K8" s="61"/>
      <c r="L8" s="60"/>
      <c r="M8" s="60"/>
      <c r="N8" s="61"/>
    </row>
    <row r="9" spans="1:14">
      <c r="A9" s="59"/>
      <c r="B9" s="58" t="s">
        <v>142</v>
      </c>
      <c r="C9" s="57" t="s">
        <v>133</v>
      </c>
      <c r="D9" s="62"/>
      <c r="I9" s="60"/>
      <c r="J9" s="61"/>
      <c r="K9" s="61"/>
      <c r="L9" s="60"/>
      <c r="M9" s="60"/>
      <c r="N9" s="61"/>
    </row>
    <row r="10" spans="1:14">
      <c r="A10" s="59"/>
      <c r="B10" s="62" t="s">
        <v>143</v>
      </c>
      <c r="C10" s="57" t="s">
        <v>133</v>
      </c>
      <c r="D10" s="58"/>
      <c r="I10" s="60"/>
      <c r="J10" s="61"/>
      <c r="K10" s="61"/>
      <c r="L10" s="60"/>
      <c r="M10" s="60"/>
      <c r="N10" s="61"/>
    </row>
    <row r="11" spans="1:14">
      <c r="A11" s="59"/>
      <c r="B11" s="57"/>
      <c r="C11" s="59"/>
      <c r="D11" s="62"/>
      <c r="I11" s="60"/>
      <c r="J11" s="61"/>
      <c r="K11" s="61"/>
      <c r="L11" s="60"/>
      <c r="M11" s="60"/>
      <c r="N11" s="61"/>
    </row>
    <row r="12" spans="1:14">
      <c r="A12" s="140" t="s">
        <v>9</v>
      </c>
      <c r="B12" s="140"/>
      <c r="C12" s="140"/>
      <c r="D12" s="140"/>
      <c r="E12" s="140"/>
      <c r="F12" s="140"/>
      <c r="G12" s="141" t="s">
        <v>144</v>
      </c>
      <c r="H12" s="141"/>
      <c r="I12" s="142" t="s">
        <v>11</v>
      </c>
      <c r="J12" s="142"/>
      <c r="K12" s="142"/>
      <c r="L12" s="142"/>
      <c r="M12" s="142"/>
      <c r="N12" s="142"/>
    </row>
    <row r="13" spans="1:14" ht="52.5" customHeight="1">
      <c r="A13" s="63" t="s">
        <v>12</v>
      </c>
      <c r="B13" s="63" t="s">
        <v>13</v>
      </c>
      <c r="C13" s="63"/>
      <c r="D13" s="63" t="s">
        <v>14</v>
      </c>
      <c r="E13" s="63" t="s">
        <v>15</v>
      </c>
      <c r="F13" s="63" t="s">
        <v>16</v>
      </c>
      <c r="G13" s="64" t="s">
        <v>17</v>
      </c>
      <c r="H13" s="64" t="s">
        <v>18</v>
      </c>
      <c r="I13" s="65" t="s">
        <v>145</v>
      </c>
      <c r="J13" s="65" t="s">
        <v>146</v>
      </c>
      <c r="K13" s="65" t="s">
        <v>147</v>
      </c>
      <c r="L13" s="65" t="s">
        <v>148</v>
      </c>
      <c r="M13" s="65" t="s">
        <v>149</v>
      </c>
      <c r="N13" s="65" t="s">
        <v>150</v>
      </c>
    </row>
    <row r="14" spans="1:14" ht="17.45" customHeight="1">
      <c r="A14" s="34"/>
      <c r="B14" s="34"/>
      <c r="C14" s="34"/>
      <c r="D14" s="66"/>
      <c r="E14" s="66"/>
      <c r="F14" s="66"/>
      <c r="G14" s="66"/>
      <c r="H14" s="66"/>
      <c r="I14" s="67" t="s">
        <v>151</v>
      </c>
      <c r="J14" s="67" t="s">
        <v>152</v>
      </c>
      <c r="K14" s="67" t="s">
        <v>151</v>
      </c>
      <c r="L14" s="67" t="s">
        <v>152</v>
      </c>
      <c r="M14" s="67" t="s">
        <v>153</v>
      </c>
      <c r="N14" s="67" t="s">
        <v>153</v>
      </c>
    </row>
    <row r="15" spans="1:14" ht="17.45" customHeight="1">
      <c r="A15" s="68" t="s">
        <v>25</v>
      </c>
      <c r="B15" s="69"/>
      <c r="C15" s="69"/>
      <c r="D15" s="70" t="s">
        <v>154</v>
      </c>
      <c r="E15" s="66" t="s">
        <v>27</v>
      </c>
      <c r="F15" s="34">
        <v>2023</v>
      </c>
      <c r="G15" s="71">
        <f t="shared" ref="G15:G38" si="0">(I15*20%)+(J15*10%)+(K15*10%)+(L15*10%)+(M15*20%)+(N15*30%)</f>
        <v>0</v>
      </c>
      <c r="H15" s="72" t="str">
        <f t="shared" ref="H15:H38" si="1">IF(G15&gt;=81,"A",IF(G15&gt;66,"B",IF(G15&gt;=56,"C",IF(G15&gt;=46,"D",IF(G15&lt;46,"E")))))</f>
        <v>E</v>
      </c>
      <c r="I15" s="17"/>
      <c r="J15" s="17"/>
      <c r="K15" s="17"/>
      <c r="L15" s="17"/>
      <c r="M15" s="34"/>
      <c r="N15" s="17"/>
    </row>
    <row r="16" spans="1:14" ht="17.45" customHeight="1">
      <c r="A16" s="68" t="s">
        <v>28</v>
      </c>
      <c r="B16" s="34"/>
      <c r="C16" s="34"/>
      <c r="D16" s="70" t="s">
        <v>155</v>
      </c>
      <c r="E16" s="66" t="s">
        <v>27</v>
      </c>
      <c r="F16" s="34">
        <v>2023</v>
      </c>
      <c r="G16" s="71">
        <f t="shared" si="0"/>
        <v>0</v>
      </c>
      <c r="H16" s="72" t="str">
        <f t="shared" si="1"/>
        <v>E</v>
      </c>
      <c r="I16" s="17"/>
      <c r="J16" s="17"/>
      <c r="K16" s="17"/>
      <c r="L16" s="17"/>
      <c r="M16" s="34"/>
      <c r="N16" s="21"/>
    </row>
    <row r="17" spans="1:14" ht="17.45" customHeight="1">
      <c r="A17" s="68" t="s">
        <v>30</v>
      </c>
      <c r="B17" s="34"/>
      <c r="C17" s="34"/>
      <c r="D17" s="70" t="s">
        <v>156</v>
      </c>
      <c r="E17" s="66" t="s">
        <v>27</v>
      </c>
      <c r="F17" s="34">
        <v>2023</v>
      </c>
      <c r="G17" s="71">
        <f t="shared" si="0"/>
        <v>0</v>
      </c>
      <c r="H17" s="72" t="str">
        <f t="shared" si="1"/>
        <v>E</v>
      </c>
      <c r="I17" s="17"/>
      <c r="J17" s="17"/>
      <c r="K17" s="17"/>
      <c r="L17" s="17"/>
      <c r="M17" s="34"/>
      <c r="N17" s="21"/>
    </row>
    <row r="18" spans="1:14" ht="17.45" customHeight="1">
      <c r="A18" s="68" t="s">
        <v>32</v>
      </c>
      <c r="B18" s="34"/>
      <c r="C18" s="34"/>
      <c r="D18" s="70" t="s">
        <v>157</v>
      </c>
      <c r="E18" s="66" t="s">
        <v>27</v>
      </c>
      <c r="F18" s="34">
        <v>2023</v>
      </c>
      <c r="G18" s="71">
        <f t="shared" si="0"/>
        <v>0</v>
      </c>
      <c r="H18" s="72" t="str">
        <f t="shared" si="1"/>
        <v>E</v>
      </c>
      <c r="I18" s="17"/>
      <c r="J18" s="17"/>
      <c r="K18" s="17"/>
      <c r="L18" s="17"/>
      <c r="M18" s="34"/>
      <c r="N18" s="21"/>
    </row>
    <row r="19" spans="1:14" ht="17.45" customHeight="1">
      <c r="A19" s="68" t="s">
        <v>34</v>
      </c>
      <c r="B19" s="34"/>
      <c r="C19" s="34"/>
      <c r="D19" s="70" t="s">
        <v>158</v>
      </c>
      <c r="E19" s="66" t="s">
        <v>27</v>
      </c>
      <c r="F19" s="34">
        <v>2023</v>
      </c>
      <c r="G19" s="71">
        <f t="shared" si="0"/>
        <v>0</v>
      </c>
      <c r="H19" s="72" t="str">
        <f t="shared" si="1"/>
        <v>E</v>
      </c>
      <c r="I19" s="17"/>
      <c r="J19" s="17"/>
      <c r="K19" s="17"/>
      <c r="L19" s="17"/>
      <c r="M19" s="34"/>
      <c r="N19" s="21"/>
    </row>
    <row r="20" spans="1:14" ht="17.45" customHeight="1">
      <c r="A20" s="68" t="s">
        <v>36</v>
      </c>
      <c r="B20" s="34"/>
      <c r="C20" s="34"/>
      <c r="D20" s="70" t="s">
        <v>159</v>
      </c>
      <c r="E20" s="66" t="s">
        <v>27</v>
      </c>
      <c r="F20" s="34">
        <v>2023</v>
      </c>
      <c r="G20" s="71">
        <f t="shared" si="0"/>
        <v>0</v>
      </c>
      <c r="H20" s="72" t="str">
        <f t="shared" si="1"/>
        <v>E</v>
      </c>
      <c r="I20" s="17"/>
      <c r="J20" s="17"/>
      <c r="K20" s="17"/>
      <c r="L20" s="17"/>
      <c r="M20" s="34"/>
      <c r="N20" s="21"/>
    </row>
    <row r="21" spans="1:14" ht="17.45" customHeight="1">
      <c r="A21" s="68" t="s">
        <v>38</v>
      </c>
      <c r="B21" s="66"/>
      <c r="C21" s="66"/>
      <c r="D21" s="70" t="s">
        <v>160</v>
      </c>
      <c r="E21" s="66" t="s">
        <v>27</v>
      </c>
      <c r="F21" s="34">
        <v>2023</v>
      </c>
      <c r="G21" s="71">
        <f t="shared" si="0"/>
        <v>0</v>
      </c>
      <c r="H21" s="72" t="str">
        <f t="shared" si="1"/>
        <v>E</v>
      </c>
      <c r="I21" s="17"/>
      <c r="J21" s="17"/>
      <c r="K21" s="17"/>
      <c r="L21" s="17"/>
      <c r="M21" s="34"/>
      <c r="N21" s="21"/>
    </row>
    <row r="22" spans="1:14" ht="17.45" customHeight="1">
      <c r="A22" s="68" t="s">
        <v>40</v>
      </c>
      <c r="B22" s="66"/>
      <c r="C22" s="66"/>
      <c r="D22" s="70" t="s">
        <v>161</v>
      </c>
      <c r="E22" s="66" t="s">
        <v>27</v>
      </c>
      <c r="F22" s="34">
        <v>2023</v>
      </c>
      <c r="G22" s="71">
        <f t="shared" si="0"/>
        <v>0</v>
      </c>
      <c r="H22" s="72" t="str">
        <f t="shared" si="1"/>
        <v>E</v>
      </c>
      <c r="I22" s="17"/>
      <c r="J22" s="17"/>
      <c r="K22" s="17"/>
      <c r="L22" s="17"/>
      <c r="M22" s="34"/>
      <c r="N22" s="21"/>
    </row>
    <row r="23" spans="1:14" ht="17.45" customHeight="1">
      <c r="A23" s="68" t="s">
        <v>42</v>
      </c>
      <c r="B23" s="66"/>
      <c r="C23" s="66"/>
      <c r="D23" s="70" t="s">
        <v>162</v>
      </c>
      <c r="E23" s="66" t="s">
        <v>27</v>
      </c>
      <c r="F23" s="34">
        <v>2023</v>
      </c>
      <c r="G23" s="71">
        <f t="shared" si="0"/>
        <v>0</v>
      </c>
      <c r="H23" s="72" t="str">
        <f t="shared" si="1"/>
        <v>E</v>
      </c>
      <c r="I23" s="17"/>
      <c r="J23" s="17"/>
      <c r="K23" s="17"/>
      <c r="L23" s="17"/>
      <c r="M23" s="34"/>
      <c r="N23" s="21"/>
    </row>
    <row r="24" spans="1:14" ht="17.45" customHeight="1">
      <c r="A24" s="68" t="s">
        <v>44</v>
      </c>
      <c r="B24" s="66"/>
      <c r="C24" s="66"/>
      <c r="D24" s="70" t="s">
        <v>163</v>
      </c>
      <c r="E24" s="66" t="s">
        <v>27</v>
      </c>
      <c r="F24" s="34">
        <v>2023</v>
      </c>
      <c r="G24" s="71">
        <f t="shared" si="0"/>
        <v>0</v>
      </c>
      <c r="H24" s="72" t="str">
        <f t="shared" si="1"/>
        <v>E</v>
      </c>
      <c r="I24" s="17"/>
      <c r="J24" s="17"/>
      <c r="K24" s="17"/>
      <c r="L24" s="17"/>
      <c r="M24" s="34"/>
      <c r="N24" s="21"/>
    </row>
    <row r="25" spans="1:14" ht="17.45" customHeight="1">
      <c r="A25" s="68" t="s">
        <v>46</v>
      </c>
      <c r="B25" s="66"/>
      <c r="C25" s="66"/>
      <c r="D25" s="70" t="s">
        <v>164</v>
      </c>
      <c r="E25" s="66" t="s">
        <v>27</v>
      </c>
      <c r="F25" s="34">
        <v>2023</v>
      </c>
      <c r="G25" s="71">
        <f t="shared" si="0"/>
        <v>0</v>
      </c>
      <c r="H25" s="72" t="str">
        <f t="shared" si="1"/>
        <v>E</v>
      </c>
      <c r="I25" s="17"/>
      <c r="J25" s="17"/>
      <c r="K25" s="17"/>
      <c r="L25" s="17"/>
      <c r="M25" s="34"/>
      <c r="N25" s="21"/>
    </row>
    <row r="26" spans="1:14" ht="17.45" customHeight="1">
      <c r="A26" s="68" t="s">
        <v>48</v>
      </c>
      <c r="B26" s="66"/>
      <c r="C26" s="66"/>
      <c r="D26" s="70" t="s">
        <v>165</v>
      </c>
      <c r="E26" s="66" t="s">
        <v>27</v>
      </c>
      <c r="F26" s="34">
        <v>2023</v>
      </c>
      <c r="G26" s="71">
        <f t="shared" si="0"/>
        <v>0</v>
      </c>
      <c r="H26" s="72" t="str">
        <f t="shared" si="1"/>
        <v>E</v>
      </c>
      <c r="I26" s="17"/>
      <c r="J26" s="17"/>
      <c r="K26" s="17"/>
      <c r="L26" s="17"/>
      <c r="M26" s="34"/>
      <c r="N26" s="21"/>
    </row>
    <row r="27" spans="1:14" ht="17.45" customHeight="1">
      <c r="A27" s="68" t="s">
        <v>78</v>
      </c>
      <c r="B27" s="66"/>
      <c r="C27" s="66"/>
      <c r="D27" s="70" t="s">
        <v>166</v>
      </c>
      <c r="E27" s="66" t="s">
        <v>27</v>
      </c>
      <c r="F27" s="34">
        <v>2023</v>
      </c>
      <c r="G27" s="71">
        <f t="shared" si="0"/>
        <v>0</v>
      </c>
      <c r="H27" s="72" t="str">
        <f t="shared" si="1"/>
        <v>E</v>
      </c>
      <c r="I27" s="17"/>
      <c r="J27" s="17"/>
      <c r="K27" s="17"/>
      <c r="L27" s="17"/>
      <c r="M27" s="34"/>
      <c r="N27" s="21"/>
    </row>
    <row r="28" spans="1:14" ht="17.45" customHeight="1">
      <c r="A28" s="68" t="s">
        <v>80</v>
      </c>
      <c r="B28" s="66"/>
      <c r="C28" s="66"/>
      <c r="D28" s="70" t="s">
        <v>167</v>
      </c>
      <c r="E28" s="66" t="s">
        <v>27</v>
      </c>
      <c r="F28" s="34">
        <v>2023</v>
      </c>
      <c r="G28" s="71">
        <f t="shared" si="0"/>
        <v>0</v>
      </c>
      <c r="H28" s="72" t="str">
        <f t="shared" si="1"/>
        <v>E</v>
      </c>
      <c r="I28" s="17"/>
      <c r="J28" s="34"/>
      <c r="K28" s="34"/>
      <c r="L28" s="17"/>
      <c r="M28" s="34"/>
      <c r="N28" s="34"/>
    </row>
    <row r="29" spans="1:14" ht="17.45" customHeight="1">
      <c r="A29" s="68" t="s">
        <v>82</v>
      </c>
      <c r="B29" s="66"/>
      <c r="C29" s="66"/>
      <c r="D29" s="70" t="s">
        <v>168</v>
      </c>
      <c r="E29" s="66" t="s">
        <v>27</v>
      </c>
      <c r="F29" s="34">
        <v>2023</v>
      </c>
      <c r="G29" s="71">
        <f t="shared" si="0"/>
        <v>0</v>
      </c>
      <c r="H29" s="72" t="str">
        <f t="shared" si="1"/>
        <v>E</v>
      </c>
      <c r="I29" s="17"/>
      <c r="J29" s="17"/>
      <c r="K29" s="17"/>
      <c r="L29" s="17"/>
      <c r="M29" s="34"/>
      <c r="N29" s="34"/>
    </row>
    <row r="30" spans="1:14" ht="17.45" customHeight="1">
      <c r="A30" s="68" t="s">
        <v>84</v>
      </c>
      <c r="B30" s="66"/>
      <c r="C30" s="66"/>
      <c r="D30" s="70" t="s">
        <v>169</v>
      </c>
      <c r="E30" s="66" t="s">
        <v>27</v>
      </c>
      <c r="F30" s="34">
        <v>2023</v>
      </c>
      <c r="G30" s="71">
        <f t="shared" si="0"/>
        <v>0</v>
      </c>
      <c r="H30" s="72" t="str">
        <f t="shared" si="1"/>
        <v>E</v>
      </c>
      <c r="I30" s="17"/>
      <c r="J30" s="34"/>
      <c r="K30" s="34"/>
      <c r="L30" s="17"/>
      <c r="M30" s="34"/>
      <c r="N30" s="34"/>
    </row>
    <row r="31" spans="1:14" ht="17.45" customHeight="1">
      <c r="A31" s="68" t="s">
        <v>86</v>
      </c>
      <c r="B31" s="66"/>
      <c r="C31" s="66"/>
      <c r="D31" s="66" t="s">
        <v>170</v>
      </c>
      <c r="E31" s="66" t="s">
        <v>27</v>
      </c>
      <c r="F31" s="34">
        <v>2023</v>
      </c>
      <c r="G31" s="71">
        <f t="shared" si="0"/>
        <v>0</v>
      </c>
      <c r="H31" s="72" t="str">
        <f t="shared" si="1"/>
        <v>E</v>
      </c>
      <c r="I31" s="17"/>
      <c r="J31" s="34"/>
      <c r="K31" s="34"/>
      <c r="L31" s="17"/>
      <c r="M31" s="34"/>
      <c r="N31" s="34"/>
    </row>
    <row r="32" spans="1:14" ht="17.45" customHeight="1">
      <c r="A32" s="68" t="s">
        <v>88</v>
      </c>
      <c r="B32" s="66"/>
      <c r="C32" s="66"/>
      <c r="D32" s="70" t="s">
        <v>171</v>
      </c>
      <c r="E32" s="66" t="s">
        <v>27</v>
      </c>
      <c r="F32" s="34">
        <v>2023</v>
      </c>
      <c r="G32" s="71">
        <f t="shared" si="0"/>
        <v>0</v>
      </c>
      <c r="H32" s="72" t="str">
        <f t="shared" si="1"/>
        <v>E</v>
      </c>
      <c r="I32" s="17"/>
      <c r="J32" s="34"/>
      <c r="K32" s="34"/>
      <c r="L32" s="17"/>
      <c r="M32" s="34"/>
      <c r="N32" s="34"/>
    </row>
    <row r="33" spans="1:14" ht="17.45" customHeight="1">
      <c r="A33" s="68" t="s">
        <v>90</v>
      </c>
      <c r="B33" s="66"/>
      <c r="C33" s="66"/>
      <c r="D33" s="70" t="s">
        <v>172</v>
      </c>
      <c r="E33" s="66" t="s">
        <v>27</v>
      </c>
      <c r="F33" s="34">
        <v>2023</v>
      </c>
      <c r="G33" s="71">
        <f t="shared" si="0"/>
        <v>0</v>
      </c>
      <c r="H33" s="72" t="str">
        <f t="shared" si="1"/>
        <v>E</v>
      </c>
      <c r="I33" s="17"/>
      <c r="J33" s="34"/>
      <c r="K33" s="34"/>
      <c r="L33" s="17"/>
      <c r="M33" s="34"/>
      <c r="N33" s="34"/>
    </row>
    <row r="34" spans="1:14" ht="17.45" customHeight="1">
      <c r="A34" s="68" t="s">
        <v>91</v>
      </c>
      <c r="B34" s="66"/>
      <c r="C34" s="66"/>
      <c r="D34" s="66" t="s">
        <v>173</v>
      </c>
      <c r="E34" s="66" t="s">
        <v>27</v>
      </c>
      <c r="F34" s="34">
        <v>2023</v>
      </c>
      <c r="G34" s="71">
        <f t="shared" si="0"/>
        <v>0</v>
      </c>
      <c r="H34" s="72" t="str">
        <f t="shared" si="1"/>
        <v>E</v>
      </c>
      <c r="I34" s="17"/>
      <c r="J34" s="34"/>
      <c r="K34" s="34"/>
      <c r="L34" s="17"/>
      <c r="M34" s="34"/>
      <c r="N34" s="34"/>
    </row>
    <row r="35" spans="1:14" ht="17.45" customHeight="1">
      <c r="A35" s="68" t="s">
        <v>93</v>
      </c>
      <c r="B35" s="66"/>
      <c r="C35" s="66"/>
      <c r="D35" s="70" t="s">
        <v>174</v>
      </c>
      <c r="E35" s="66" t="s">
        <v>27</v>
      </c>
      <c r="F35" s="34">
        <v>2023</v>
      </c>
      <c r="G35" s="71">
        <f t="shared" si="0"/>
        <v>0</v>
      </c>
      <c r="H35" s="72" t="str">
        <f t="shared" si="1"/>
        <v>E</v>
      </c>
      <c r="I35" s="17"/>
      <c r="J35" s="34"/>
      <c r="K35" s="34"/>
      <c r="L35" s="17"/>
      <c r="M35" s="34"/>
      <c r="N35" s="34"/>
    </row>
    <row r="36" spans="1:14" ht="17.45" customHeight="1">
      <c r="A36" s="68" t="s">
        <v>95</v>
      </c>
      <c r="B36" s="66"/>
      <c r="C36" s="66"/>
      <c r="D36" s="66" t="s">
        <v>175</v>
      </c>
      <c r="E36" s="66" t="s">
        <v>27</v>
      </c>
      <c r="F36" s="34">
        <v>2023</v>
      </c>
      <c r="G36" s="71">
        <f t="shared" si="0"/>
        <v>0</v>
      </c>
      <c r="H36" s="72" t="str">
        <f t="shared" si="1"/>
        <v>E</v>
      </c>
      <c r="I36" s="17"/>
      <c r="J36" s="34"/>
      <c r="K36" s="34"/>
      <c r="L36" s="17"/>
      <c r="M36" s="34"/>
      <c r="N36" s="34"/>
    </row>
    <row r="37" spans="1:14" ht="17.45" customHeight="1">
      <c r="A37" s="68" t="s">
        <v>97</v>
      </c>
      <c r="B37" s="66"/>
      <c r="C37" s="66"/>
      <c r="D37" s="70" t="s">
        <v>176</v>
      </c>
      <c r="E37" s="66" t="s">
        <v>27</v>
      </c>
      <c r="F37" s="34">
        <v>2023</v>
      </c>
      <c r="G37" s="71">
        <f t="shared" si="0"/>
        <v>0</v>
      </c>
      <c r="H37" s="72" t="str">
        <f t="shared" si="1"/>
        <v>E</v>
      </c>
      <c r="I37" s="17"/>
      <c r="J37" s="34"/>
      <c r="K37" s="34"/>
      <c r="L37" s="17"/>
      <c r="M37" s="34"/>
      <c r="N37" s="34"/>
    </row>
    <row r="38" spans="1:14" ht="17.45" customHeight="1">
      <c r="A38" s="68" t="s">
        <v>99</v>
      </c>
      <c r="B38" s="66"/>
      <c r="C38" s="66"/>
      <c r="D38" s="66" t="s">
        <v>177</v>
      </c>
      <c r="E38" s="66" t="s">
        <v>27</v>
      </c>
      <c r="F38" s="34">
        <v>2023</v>
      </c>
      <c r="G38" s="71">
        <f t="shared" si="0"/>
        <v>0</v>
      </c>
      <c r="H38" s="72" t="str">
        <f t="shared" si="1"/>
        <v>E</v>
      </c>
      <c r="I38" s="17"/>
      <c r="J38" s="34"/>
      <c r="K38" s="34"/>
      <c r="L38" s="17"/>
      <c r="M38" s="34"/>
      <c r="N38" s="34"/>
    </row>
    <row r="39" spans="1:14" ht="17.45" customHeight="1">
      <c r="A39" s="68" t="s">
        <v>101</v>
      </c>
      <c r="B39" s="66"/>
      <c r="C39" s="66"/>
      <c r="D39" s="66" t="s">
        <v>178</v>
      </c>
      <c r="E39" s="66" t="s">
        <v>27</v>
      </c>
      <c r="F39" s="34">
        <v>2023</v>
      </c>
      <c r="G39" s="71">
        <f>(I39*20%)+(J39*10%)+(K39*10%)+(L39*10%)+(M39*20%)+(N39*30%)</f>
        <v>0</v>
      </c>
      <c r="H39" s="72" t="str">
        <f>IF(G39&gt;=81,"A",IF(G39&gt;66,"B",IF(G39&gt;=56,"C",IF(G39&gt;=46,"D",IF(G39&lt;46,"E")))))</f>
        <v>E</v>
      </c>
      <c r="I39" s="17"/>
      <c r="J39" s="34"/>
      <c r="K39" s="34"/>
      <c r="L39" s="17"/>
      <c r="M39" s="34"/>
      <c r="N39" s="34"/>
    </row>
    <row r="40" spans="1:14" ht="17.45" customHeight="1">
      <c r="A40" s="68" t="s">
        <v>103</v>
      </c>
      <c r="B40" s="66"/>
      <c r="C40" s="66"/>
      <c r="D40" s="66" t="str">
        <f>'[1]Akuntansi Syariah (ES)'!D40</f>
        <v>Agus Sahroni</v>
      </c>
      <c r="E40" s="66" t="s">
        <v>27</v>
      </c>
      <c r="F40" s="34">
        <v>2023</v>
      </c>
      <c r="G40" s="71">
        <f t="shared" ref="G40:G49" si="2">(I40*20%)+(J40*10%)+(K40*10%)+(L40*10%)+(M40*20%)+(N40*30%)</f>
        <v>0</v>
      </c>
      <c r="H40" s="72" t="str">
        <f t="shared" ref="H40:H49" si="3">IF(G40&gt;=81,"A",IF(G40&gt;66,"B",IF(G40&gt;=56,"C",IF(G40&gt;=46,"D",IF(G40&lt;46,"E")))))</f>
        <v>E</v>
      </c>
      <c r="I40" s="34"/>
      <c r="J40" s="34"/>
      <c r="K40" s="34"/>
      <c r="L40" s="17"/>
      <c r="M40" s="34"/>
      <c r="N40" s="34"/>
    </row>
    <row r="41" spans="1:14" ht="17.45" customHeight="1">
      <c r="A41" s="68" t="s">
        <v>105</v>
      </c>
      <c r="B41" s="66"/>
      <c r="C41" s="66"/>
      <c r="D41" s="66" t="str">
        <f>'[1]Akuntansi Syariah (ES)'!D41</f>
        <v>Arif Syarifudin</v>
      </c>
      <c r="E41" s="66" t="s">
        <v>27</v>
      </c>
      <c r="F41" s="34">
        <v>2023</v>
      </c>
      <c r="G41" s="71">
        <f t="shared" si="2"/>
        <v>0</v>
      </c>
      <c r="H41" s="72" t="str">
        <f t="shared" si="3"/>
        <v>E</v>
      </c>
      <c r="I41" s="34"/>
      <c r="J41" s="34"/>
      <c r="K41" s="34"/>
      <c r="L41" s="17"/>
      <c r="M41" s="34"/>
      <c r="N41" s="34"/>
    </row>
    <row r="42" spans="1:14" ht="17.45" customHeight="1">
      <c r="A42" s="68" t="s">
        <v>107</v>
      </c>
      <c r="B42" s="66"/>
      <c r="C42" s="66"/>
      <c r="D42" s="66" t="str">
        <f>'[1]Akuntansi Syariah (ES)'!D42</f>
        <v>Fauzi Akmal Rusdiansyah</v>
      </c>
      <c r="E42" s="66" t="s">
        <v>27</v>
      </c>
      <c r="F42" s="34">
        <v>2023</v>
      </c>
      <c r="G42" s="71">
        <f t="shared" si="2"/>
        <v>0</v>
      </c>
      <c r="H42" s="72" t="str">
        <f t="shared" si="3"/>
        <v>E</v>
      </c>
      <c r="I42" s="34"/>
      <c r="J42" s="34"/>
      <c r="K42" s="34"/>
      <c r="L42" s="17"/>
      <c r="M42" s="34"/>
      <c r="N42" s="34"/>
    </row>
    <row r="43" spans="1:14" ht="17.45" customHeight="1">
      <c r="A43" s="68" t="s">
        <v>109</v>
      </c>
      <c r="B43" s="66"/>
      <c r="C43" s="66"/>
      <c r="D43" s="66" t="str">
        <f>'[1]Akuntansi Syariah (ES)'!D43</f>
        <v>Lepiyani</v>
      </c>
      <c r="E43" s="66" t="s">
        <v>27</v>
      </c>
      <c r="F43" s="34">
        <v>2023</v>
      </c>
      <c r="G43" s="71">
        <f t="shared" si="2"/>
        <v>0</v>
      </c>
      <c r="H43" s="72" t="str">
        <f t="shared" si="3"/>
        <v>E</v>
      </c>
      <c r="I43" s="34"/>
      <c r="J43" s="34"/>
      <c r="K43" s="34"/>
      <c r="L43" s="17"/>
      <c r="M43" s="34"/>
      <c r="N43" s="34"/>
    </row>
    <row r="44" spans="1:14" ht="17.45" customHeight="1">
      <c r="A44" s="68" t="s">
        <v>111</v>
      </c>
      <c r="B44" s="66"/>
      <c r="C44" s="66"/>
      <c r="D44" s="66" t="str">
        <f>'[1]Akuntansi Syariah (ES)'!D44</f>
        <v>Masrifah</v>
      </c>
      <c r="E44" s="66" t="s">
        <v>27</v>
      </c>
      <c r="F44" s="34">
        <v>2023</v>
      </c>
      <c r="G44" s="71">
        <f t="shared" si="2"/>
        <v>0</v>
      </c>
      <c r="H44" s="72" t="str">
        <f t="shared" si="3"/>
        <v>E</v>
      </c>
      <c r="I44" s="34"/>
      <c r="J44" s="34"/>
      <c r="K44" s="34"/>
      <c r="L44" s="17"/>
      <c r="M44" s="34"/>
      <c r="N44" s="34"/>
    </row>
    <row r="45" spans="1:14" ht="17.45" customHeight="1">
      <c r="A45" s="68" t="s">
        <v>113</v>
      </c>
      <c r="B45" s="66"/>
      <c r="C45" s="66"/>
      <c r="D45" s="66" t="str">
        <f>'[1]Akuntansi Syariah (ES)'!D45</f>
        <v>Miftah Solehudin</v>
      </c>
      <c r="E45" s="66" t="s">
        <v>27</v>
      </c>
      <c r="F45" s="34">
        <v>2023</v>
      </c>
      <c r="G45" s="71">
        <f t="shared" si="2"/>
        <v>0</v>
      </c>
      <c r="H45" s="72" t="str">
        <f t="shared" si="3"/>
        <v>E</v>
      </c>
      <c r="I45" s="34"/>
      <c r="J45" s="34"/>
      <c r="K45" s="34"/>
      <c r="L45" s="17"/>
      <c r="M45" s="34"/>
      <c r="N45" s="34"/>
    </row>
    <row r="46" spans="1:14" ht="17.45" customHeight="1">
      <c r="A46" s="68" t="s">
        <v>115</v>
      </c>
      <c r="B46" s="66"/>
      <c r="C46" s="66"/>
      <c r="D46" s="66" t="str">
        <f>'[1]Akuntansi Syariah (ES)'!D46</f>
        <v>Muhammad Ramdan Rifai</v>
      </c>
      <c r="E46" s="66" t="s">
        <v>27</v>
      </c>
      <c r="F46" s="34">
        <v>2023</v>
      </c>
      <c r="G46" s="71">
        <f t="shared" si="2"/>
        <v>0</v>
      </c>
      <c r="H46" s="72" t="str">
        <f t="shared" si="3"/>
        <v>E</v>
      </c>
      <c r="I46" s="34"/>
      <c r="J46" s="34"/>
      <c r="K46" s="34"/>
      <c r="L46" s="17"/>
      <c r="M46" s="34"/>
      <c r="N46" s="34"/>
    </row>
    <row r="47" spans="1:14" ht="15.75">
      <c r="A47" s="68" t="s">
        <v>117</v>
      </c>
      <c r="B47" s="66"/>
      <c r="C47" s="66"/>
      <c r="D47" s="66" t="str">
        <f>'[1]Akuntansi Syariah (ES)'!D47</f>
        <v>Pirly Siti Jakiyah</v>
      </c>
      <c r="E47" s="66" t="s">
        <v>27</v>
      </c>
      <c r="F47" s="34">
        <v>2023</v>
      </c>
      <c r="G47" s="71">
        <f t="shared" si="2"/>
        <v>0</v>
      </c>
      <c r="H47" s="72" t="str">
        <f t="shared" si="3"/>
        <v>E</v>
      </c>
      <c r="I47" s="34"/>
      <c r="J47" s="34"/>
      <c r="K47" s="34"/>
      <c r="L47" s="17"/>
      <c r="M47" s="34"/>
      <c r="N47" s="34"/>
    </row>
    <row r="48" spans="1:14" ht="15.75">
      <c r="A48" s="68" t="s">
        <v>119</v>
      </c>
      <c r="B48" s="66"/>
      <c r="C48" s="66"/>
      <c r="D48" s="66" t="str">
        <f>'[1]Akuntansi Syariah (ES)'!D48</f>
        <v>Sera Ananda Septiani</v>
      </c>
      <c r="E48" s="66" t="s">
        <v>27</v>
      </c>
      <c r="F48" s="34">
        <v>2023</v>
      </c>
      <c r="G48" s="71">
        <f t="shared" si="2"/>
        <v>0</v>
      </c>
      <c r="H48" s="72" t="str">
        <f t="shared" si="3"/>
        <v>E</v>
      </c>
      <c r="I48" s="34"/>
      <c r="J48" s="34"/>
      <c r="K48" s="34"/>
      <c r="L48" s="17"/>
      <c r="M48" s="34"/>
      <c r="N48" s="34"/>
    </row>
    <row r="49" spans="1:14" ht="15.75">
      <c r="A49" s="68" t="s">
        <v>121</v>
      </c>
      <c r="B49" s="66"/>
      <c r="C49" s="66"/>
      <c r="D49" s="66" t="str">
        <f>'[1]Akuntansi Syariah (ES)'!D49</f>
        <v>Asep</v>
      </c>
      <c r="E49" s="66" t="s">
        <v>27</v>
      </c>
      <c r="F49" s="34">
        <v>2023</v>
      </c>
      <c r="G49" s="71">
        <f t="shared" si="2"/>
        <v>0</v>
      </c>
      <c r="H49" s="72" t="str">
        <f t="shared" si="3"/>
        <v>E</v>
      </c>
      <c r="I49" s="34"/>
      <c r="J49" s="34"/>
      <c r="K49" s="34"/>
      <c r="L49" s="17"/>
      <c r="M49" s="34"/>
      <c r="N49" s="34"/>
    </row>
    <row r="50" spans="1:14">
      <c r="J50" s="59"/>
      <c r="K50" s="59"/>
      <c r="N50" s="59"/>
    </row>
    <row r="51" spans="1:14">
      <c r="J51" s="59"/>
      <c r="K51" s="59"/>
      <c r="N51" s="59"/>
    </row>
    <row r="52" spans="1:14" ht="15.75">
      <c r="A52" s="6" t="s">
        <v>50</v>
      </c>
      <c r="B52" s="37"/>
      <c r="C52" s="37"/>
      <c r="D52" s="37"/>
      <c r="J52" s="59"/>
      <c r="K52" s="59"/>
      <c r="N52" s="59"/>
    </row>
    <row r="53" spans="1:14" ht="15.75">
      <c r="A53" s="73" t="s">
        <v>12</v>
      </c>
      <c r="B53" s="73" t="s">
        <v>51</v>
      </c>
      <c r="C53" s="138" t="s">
        <v>18</v>
      </c>
      <c r="D53" s="138"/>
      <c r="E53" s="73" t="s">
        <v>52</v>
      </c>
      <c r="J53" s="59"/>
      <c r="K53" s="59"/>
      <c r="N53" s="59"/>
    </row>
    <row r="54" spans="1:14" ht="15.75">
      <c r="A54" s="74">
        <v>1</v>
      </c>
      <c r="B54" s="74" t="s">
        <v>53</v>
      </c>
      <c r="C54" s="137" t="s">
        <v>54</v>
      </c>
      <c r="D54" s="137"/>
      <c r="E54" s="75" t="s">
        <v>55</v>
      </c>
      <c r="J54" s="59"/>
      <c r="K54" s="59"/>
      <c r="N54" s="59"/>
    </row>
    <row r="55" spans="1:14" ht="15.75">
      <c r="A55" s="74">
        <v>3</v>
      </c>
      <c r="B55" s="74" t="s">
        <v>56</v>
      </c>
      <c r="C55" s="137" t="s">
        <v>57</v>
      </c>
      <c r="D55" s="137"/>
      <c r="E55" s="74" t="s">
        <v>58</v>
      </c>
      <c r="J55" s="59"/>
      <c r="K55" s="59"/>
      <c r="N55" s="59"/>
    </row>
    <row r="56" spans="1:14" ht="15.75">
      <c r="A56" s="74">
        <v>5</v>
      </c>
      <c r="B56" s="74" t="s">
        <v>59</v>
      </c>
      <c r="C56" s="137" t="s">
        <v>60</v>
      </c>
      <c r="D56" s="137"/>
      <c r="E56" s="74" t="s">
        <v>61</v>
      </c>
      <c r="J56" s="59"/>
      <c r="K56" s="59"/>
      <c r="N56" s="59"/>
    </row>
    <row r="57" spans="1:14" ht="15.75">
      <c r="A57" s="74">
        <v>7</v>
      </c>
      <c r="B57" s="74" t="s">
        <v>62</v>
      </c>
      <c r="C57" s="137" t="s">
        <v>63</v>
      </c>
      <c r="D57" s="137"/>
      <c r="E57" s="74" t="s">
        <v>64</v>
      </c>
      <c r="J57" s="59"/>
      <c r="K57" s="59"/>
      <c r="N57" s="59"/>
    </row>
    <row r="58" spans="1:14" ht="15.75">
      <c r="A58" s="74">
        <v>9</v>
      </c>
      <c r="B58" s="74" t="s">
        <v>65</v>
      </c>
      <c r="C58" s="137" t="s">
        <v>66</v>
      </c>
      <c r="D58" s="137"/>
      <c r="E58" s="74" t="s">
        <v>67</v>
      </c>
      <c r="J58" s="59"/>
      <c r="K58" s="59"/>
      <c r="N58" s="59"/>
    </row>
  </sheetData>
  <mergeCells count="11">
    <mergeCell ref="C53:D53"/>
    <mergeCell ref="A1:N1"/>
    <mergeCell ref="A5:N5"/>
    <mergeCell ref="A12:F12"/>
    <mergeCell ref="G12:H12"/>
    <mergeCell ref="I12:N12"/>
    <mergeCell ref="C54:D54"/>
    <mergeCell ref="C55:D55"/>
    <mergeCell ref="C56:D56"/>
    <mergeCell ref="C57:D57"/>
    <mergeCell ref="C58:D58"/>
  </mergeCells>
  <dataValidations count="1">
    <dataValidation allowBlank="1" showInputMessage="1" showErrorMessage="1" promptTitle="Keterangan :" prompt="Nilai = AP 10%+HP 15%+KPQ 10%+KPT 15%+KP UTS 25%+KP UAS 25%" sqref="G14" xr:uid="{00000000-0002-0000-0200-000000000000}"/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2"/>
  <sheetViews>
    <sheetView topLeftCell="A2" workbookViewId="0">
      <selection activeCell="H9" sqref="H9"/>
    </sheetView>
  </sheetViews>
  <sheetFormatPr defaultRowHeight="15"/>
  <cols>
    <col min="1" max="1" width="4.42578125" customWidth="1"/>
    <col min="2" max="2" width="17.28515625" customWidth="1"/>
    <col min="3" max="3" width="1.140625" style="59" customWidth="1"/>
    <col min="4" max="4" width="26.85546875" customWidth="1"/>
    <col min="5" max="5" width="21.5703125" customWidth="1"/>
    <col min="6" max="6" width="12.85546875" style="77" customWidth="1"/>
    <col min="9" max="14" width="17.140625" style="59" customWidth="1"/>
  </cols>
  <sheetData>
    <row r="1" spans="1:14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</row>
    <row r="2" spans="1:14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</row>
    <row r="3" spans="1:14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14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1:14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</row>
    <row r="6" spans="1:14">
      <c r="A6" s="57"/>
      <c r="B6" s="58" t="s">
        <v>1</v>
      </c>
      <c r="C6" s="57" t="s">
        <v>133</v>
      </c>
      <c r="D6" s="58"/>
      <c r="E6" s="57"/>
      <c r="F6" s="76"/>
      <c r="G6" s="57"/>
      <c r="H6" s="57"/>
      <c r="I6" s="57"/>
      <c r="J6" s="57"/>
      <c r="K6" s="57"/>
      <c r="L6" s="57"/>
      <c r="M6" s="57"/>
      <c r="N6" s="57"/>
    </row>
    <row r="7" spans="1:14">
      <c r="A7" s="57"/>
      <c r="B7" s="58" t="s">
        <v>2</v>
      </c>
      <c r="C7" s="57" t="s">
        <v>133</v>
      </c>
      <c r="D7" s="58" t="s">
        <v>135</v>
      </c>
      <c r="E7" s="57"/>
      <c r="F7" s="76"/>
      <c r="G7" s="57"/>
      <c r="H7" s="57"/>
      <c r="I7" s="57"/>
      <c r="J7" s="57"/>
      <c r="K7" s="57"/>
      <c r="L7" s="57"/>
      <c r="M7" s="57"/>
      <c r="N7" s="57"/>
    </row>
    <row r="8" spans="1:14">
      <c r="A8" s="59"/>
      <c r="B8" s="58" t="s">
        <v>6</v>
      </c>
      <c r="C8" s="57" t="s">
        <v>133</v>
      </c>
      <c r="D8" s="58"/>
      <c r="I8" s="61"/>
      <c r="J8" s="61"/>
      <c r="K8" s="61"/>
      <c r="L8" s="61"/>
      <c r="M8" s="61"/>
      <c r="N8" s="61"/>
    </row>
    <row r="9" spans="1:14">
      <c r="A9" s="59"/>
      <c r="B9" s="58" t="s">
        <v>142</v>
      </c>
      <c r="C9" s="57" t="s">
        <v>133</v>
      </c>
      <c r="D9" s="62"/>
      <c r="I9" s="61"/>
      <c r="J9" s="61"/>
      <c r="K9" s="61"/>
      <c r="L9" s="61"/>
      <c r="M9" s="61"/>
      <c r="N9" s="61"/>
    </row>
    <row r="10" spans="1:14">
      <c r="A10" s="59"/>
      <c r="B10" s="62" t="s">
        <v>143</v>
      </c>
      <c r="C10" s="59" t="s">
        <v>133</v>
      </c>
      <c r="D10" s="58"/>
      <c r="I10" s="61"/>
      <c r="J10" s="61"/>
      <c r="K10" s="61"/>
      <c r="L10" s="61"/>
      <c r="M10" s="61"/>
      <c r="N10" s="61"/>
    </row>
    <row r="11" spans="1:14">
      <c r="A11" s="59"/>
      <c r="B11" s="57"/>
      <c r="D11" s="62"/>
      <c r="I11" s="61"/>
      <c r="J11" s="61"/>
      <c r="K11" s="61"/>
      <c r="L11" s="61"/>
      <c r="M11" s="61"/>
      <c r="N11" s="61"/>
    </row>
    <row r="12" spans="1:14">
      <c r="A12" s="140" t="s">
        <v>9</v>
      </c>
      <c r="B12" s="140"/>
      <c r="C12" s="140"/>
      <c r="D12" s="140"/>
      <c r="E12" s="140"/>
      <c r="F12" s="140"/>
      <c r="G12" s="141" t="s">
        <v>144</v>
      </c>
      <c r="H12" s="141"/>
      <c r="I12" s="142" t="s">
        <v>11</v>
      </c>
      <c r="J12" s="142"/>
      <c r="K12" s="142"/>
      <c r="L12" s="142"/>
      <c r="M12" s="142"/>
      <c r="N12" s="142"/>
    </row>
    <row r="13" spans="1:14" ht="45">
      <c r="A13" s="63" t="s">
        <v>12</v>
      </c>
      <c r="B13" s="63" t="s">
        <v>13</v>
      </c>
      <c r="C13" s="63"/>
      <c r="D13" s="63" t="s">
        <v>14</v>
      </c>
      <c r="E13" s="63" t="s">
        <v>15</v>
      </c>
      <c r="F13" s="63" t="s">
        <v>16</v>
      </c>
      <c r="G13" s="64" t="s">
        <v>17</v>
      </c>
      <c r="H13" s="64" t="s">
        <v>18</v>
      </c>
      <c r="I13" s="65" t="s">
        <v>145</v>
      </c>
      <c r="J13" s="65" t="s">
        <v>146</v>
      </c>
      <c r="K13" s="65" t="s">
        <v>147</v>
      </c>
      <c r="L13" s="65" t="s">
        <v>148</v>
      </c>
      <c r="M13" s="65" t="s">
        <v>149</v>
      </c>
      <c r="N13" s="65" t="s">
        <v>150</v>
      </c>
    </row>
    <row r="14" spans="1:14" ht="15.75">
      <c r="A14" s="34">
        <v>1</v>
      </c>
      <c r="B14" s="66"/>
      <c r="C14" s="34"/>
      <c r="D14" s="78" t="s">
        <v>179</v>
      </c>
      <c r="E14" s="66" t="s">
        <v>135</v>
      </c>
      <c r="F14" s="79">
        <v>2022</v>
      </c>
      <c r="G14" s="71">
        <f t="shared" ref="G14:G24" si="0">(I14*20%)+(J14*10%)+(K14*10%)+(L14*10%)+(M14*20%)+(N14*30%)</f>
        <v>0</v>
      </c>
      <c r="H14" s="72" t="str">
        <f t="shared" ref="H14:H24" si="1">IF(G14&gt;=81,"A",IF(G14&gt;66,"B",IF(G14&gt;=56,"C",IF(G14&gt;=46,"D",IF(G14&lt;46,"E")))))</f>
        <v>E</v>
      </c>
      <c r="I14" s="34"/>
      <c r="J14" s="34"/>
      <c r="K14" s="34"/>
      <c r="L14" s="34"/>
      <c r="M14" s="34"/>
      <c r="N14" s="34"/>
    </row>
    <row r="15" spans="1:14" ht="15.75">
      <c r="A15" s="34">
        <v>2</v>
      </c>
      <c r="B15" s="66"/>
      <c r="C15" s="34"/>
      <c r="D15" s="78" t="s">
        <v>180</v>
      </c>
      <c r="E15" s="66" t="s">
        <v>135</v>
      </c>
      <c r="F15" s="79">
        <v>2022</v>
      </c>
      <c r="G15" s="71">
        <f t="shared" si="0"/>
        <v>0</v>
      </c>
      <c r="H15" s="72" t="str">
        <f t="shared" si="1"/>
        <v>E</v>
      </c>
      <c r="I15" s="34"/>
      <c r="J15" s="34"/>
      <c r="K15" s="34"/>
      <c r="L15" s="34"/>
      <c r="M15" s="34"/>
      <c r="N15" s="34"/>
    </row>
    <row r="16" spans="1:14" ht="15.75">
      <c r="A16" s="34">
        <v>3</v>
      </c>
      <c r="B16" s="66"/>
      <c r="C16" s="34"/>
      <c r="D16" s="78" t="s">
        <v>181</v>
      </c>
      <c r="E16" s="66" t="s">
        <v>135</v>
      </c>
      <c r="F16" s="79">
        <v>2022</v>
      </c>
      <c r="G16" s="71">
        <f t="shared" si="0"/>
        <v>0</v>
      </c>
      <c r="H16" s="72" t="str">
        <f t="shared" si="1"/>
        <v>E</v>
      </c>
      <c r="I16" s="34"/>
      <c r="J16" s="34"/>
      <c r="K16" s="34"/>
      <c r="L16" s="34"/>
      <c r="M16" s="34"/>
      <c r="N16" s="34"/>
    </row>
    <row r="17" spans="1:14" ht="15.75">
      <c r="A17" s="34">
        <v>4</v>
      </c>
      <c r="B17" s="66"/>
      <c r="C17" s="34"/>
      <c r="D17" s="80" t="s">
        <v>182</v>
      </c>
      <c r="E17" s="66" t="s">
        <v>135</v>
      </c>
      <c r="F17" s="79">
        <v>2022</v>
      </c>
      <c r="G17" s="71">
        <f t="shared" si="0"/>
        <v>0</v>
      </c>
      <c r="H17" s="72" t="str">
        <f t="shared" si="1"/>
        <v>E</v>
      </c>
      <c r="I17" s="34"/>
      <c r="J17" s="34"/>
      <c r="K17" s="34"/>
      <c r="L17" s="34"/>
      <c r="M17" s="34"/>
      <c r="N17" s="34"/>
    </row>
    <row r="18" spans="1:14" ht="15.75">
      <c r="A18" s="34">
        <v>5</v>
      </c>
      <c r="B18" s="66"/>
      <c r="C18" s="34"/>
      <c r="D18" s="80" t="s">
        <v>183</v>
      </c>
      <c r="E18" s="66" t="s">
        <v>135</v>
      </c>
      <c r="F18" s="79">
        <v>2022</v>
      </c>
      <c r="G18" s="71">
        <f t="shared" si="0"/>
        <v>0</v>
      </c>
      <c r="H18" s="72" t="str">
        <f t="shared" si="1"/>
        <v>E</v>
      </c>
      <c r="I18" s="34"/>
      <c r="J18" s="34"/>
      <c r="K18" s="34"/>
      <c r="L18" s="34"/>
      <c r="M18" s="34"/>
      <c r="N18" s="34"/>
    </row>
    <row r="19" spans="1:14" ht="15.75">
      <c r="A19" s="34">
        <v>6</v>
      </c>
      <c r="B19" s="66"/>
      <c r="C19" s="34"/>
      <c r="D19" s="80" t="s">
        <v>184</v>
      </c>
      <c r="E19" s="66" t="s">
        <v>135</v>
      </c>
      <c r="F19" s="79">
        <v>2022</v>
      </c>
      <c r="G19" s="71">
        <f t="shared" si="0"/>
        <v>0</v>
      </c>
      <c r="H19" s="72" t="str">
        <f t="shared" si="1"/>
        <v>E</v>
      </c>
      <c r="I19" s="34"/>
      <c r="J19" s="34"/>
      <c r="K19" s="34"/>
      <c r="L19" s="34"/>
      <c r="M19" s="34"/>
      <c r="N19" s="34"/>
    </row>
    <row r="20" spans="1:14" ht="15.75">
      <c r="A20" s="34">
        <v>7</v>
      </c>
      <c r="B20" s="66"/>
      <c r="C20" s="34"/>
      <c r="D20" s="80" t="s">
        <v>185</v>
      </c>
      <c r="E20" s="66" t="s">
        <v>135</v>
      </c>
      <c r="F20" s="79">
        <v>2022</v>
      </c>
      <c r="G20" s="71">
        <f t="shared" si="0"/>
        <v>0</v>
      </c>
      <c r="H20" s="72" t="str">
        <f t="shared" si="1"/>
        <v>E</v>
      </c>
      <c r="I20" s="34"/>
      <c r="J20" s="34"/>
      <c r="K20" s="34"/>
      <c r="L20" s="34"/>
      <c r="M20" s="34"/>
      <c r="N20" s="34"/>
    </row>
    <row r="21" spans="1:14" ht="15.75">
      <c r="A21" s="34">
        <v>8</v>
      </c>
      <c r="B21" s="66"/>
      <c r="C21" s="34"/>
      <c r="D21" s="80" t="s">
        <v>186</v>
      </c>
      <c r="E21" s="66" t="s">
        <v>135</v>
      </c>
      <c r="F21" s="79">
        <v>2022</v>
      </c>
      <c r="G21" s="71">
        <f t="shared" si="0"/>
        <v>0</v>
      </c>
      <c r="H21" s="72" t="str">
        <f t="shared" si="1"/>
        <v>E</v>
      </c>
      <c r="I21" s="34"/>
      <c r="J21" s="34"/>
      <c r="K21" s="34"/>
      <c r="L21" s="34"/>
      <c r="M21" s="34"/>
      <c r="N21" s="34"/>
    </row>
    <row r="22" spans="1:14" ht="15.75">
      <c r="A22" s="34">
        <v>9</v>
      </c>
      <c r="B22" s="66"/>
      <c r="C22" s="34"/>
      <c r="D22" s="80" t="s">
        <v>187</v>
      </c>
      <c r="E22" s="66" t="s">
        <v>135</v>
      </c>
      <c r="F22" s="79">
        <v>2022</v>
      </c>
      <c r="G22" s="71">
        <f t="shared" si="0"/>
        <v>0</v>
      </c>
      <c r="H22" s="72" t="str">
        <f t="shared" si="1"/>
        <v>E</v>
      </c>
      <c r="I22" s="34"/>
      <c r="J22" s="34"/>
      <c r="K22" s="34"/>
      <c r="L22" s="34"/>
      <c r="M22" s="34"/>
      <c r="N22" s="34"/>
    </row>
    <row r="23" spans="1:14" ht="15.75">
      <c r="A23" s="34">
        <v>10</v>
      </c>
      <c r="B23" s="66"/>
      <c r="C23" s="34"/>
      <c r="D23" s="80" t="s">
        <v>188</v>
      </c>
      <c r="E23" s="66" t="s">
        <v>135</v>
      </c>
      <c r="F23" s="79">
        <v>2022</v>
      </c>
      <c r="G23" s="71">
        <f t="shared" si="0"/>
        <v>0</v>
      </c>
      <c r="H23" s="72" t="str">
        <f t="shared" si="1"/>
        <v>E</v>
      </c>
      <c r="I23" s="34"/>
      <c r="J23" s="34"/>
      <c r="K23" s="34"/>
      <c r="L23" s="34"/>
      <c r="M23" s="34"/>
      <c r="N23" s="34"/>
    </row>
    <row r="24" spans="1:14" ht="15.75">
      <c r="A24" s="34">
        <v>11</v>
      </c>
      <c r="B24" s="66"/>
      <c r="C24" s="34"/>
      <c r="D24" s="45" t="s">
        <v>189</v>
      </c>
      <c r="E24" s="66" t="s">
        <v>135</v>
      </c>
      <c r="F24" s="79">
        <v>2022</v>
      </c>
      <c r="G24" s="71">
        <f t="shared" si="0"/>
        <v>0</v>
      </c>
      <c r="H24" s="72" t="str">
        <f t="shared" si="1"/>
        <v>E</v>
      </c>
      <c r="I24" s="34"/>
      <c r="J24" s="34"/>
      <c r="K24" s="34"/>
      <c r="L24" s="34"/>
      <c r="M24" s="34"/>
      <c r="N24" s="34"/>
    </row>
    <row r="26" spans="1:14" ht="15.75">
      <c r="A26" s="6" t="s">
        <v>50</v>
      </c>
      <c r="B26" s="37"/>
      <c r="C26" s="37"/>
      <c r="D26" s="37"/>
    </row>
    <row r="27" spans="1:14" ht="15.75">
      <c r="A27" s="73" t="s">
        <v>12</v>
      </c>
      <c r="B27" s="73" t="s">
        <v>51</v>
      </c>
      <c r="C27" s="138" t="s">
        <v>18</v>
      </c>
      <c r="D27" s="138"/>
      <c r="E27" s="73" t="s">
        <v>52</v>
      </c>
    </row>
    <row r="28" spans="1:14" ht="15.75">
      <c r="A28" s="74">
        <v>1</v>
      </c>
      <c r="B28" s="74" t="s">
        <v>53</v>
      </c>
      <c r="C28" s="137" t="s">
        <v>54</v>
      </c>
      <c r="D28" s="137"/>
      <c r="E28" s="75" t="s">
        <v>55</v>
      </c>
    </row>
    <row r="29" spans="1:14" ht="15.75">
      <c r="A29" s="74">
        <v>3</v>
      </c>
      <c r="B29" s="74" t="s">
        <v>56</v>
      </c>
      <c r="C29" s="137" t="s">
        <v>57</v>
      </c>
      <c r="D29" s="137"/>
      <c r="E29" s="74" t="s">
        <v>58</v>
      </c>
    </row>
    <row r="30" spans="1:14" ht="15.75">
      <c r="A30" s="74">
        <v>5</v>
      </c>
      <c r="B30" s="74" t="s">
        <v>59</v>
      </c>
      <c r="C30" s="137" t="s">
        <v>60</v>
      </c>
      <c r="D30" s="137"/>
      <c r="E30" s="74" t="s">
        <v>61</v>
      </c>
    </row>
    <row r="31" spans="1:14" ht="15.75">
      <c r="A31" s="74">
        <v>7</v>
      </c>
      <c r="B31" s="74" t="s">
        <v>62</v>
      </c>
      <c r="C31" s="137" t="s">
        <v>63</v>
      </c>
      <c r="D31" s="137"/>
      <c r="E31" s="74" t="s">
        <v>64</v>
      </c>
    </row>
    <row r="32" spans="1:14" ht="15.75">
      <c r="A32" s="74">
        <v>9</v>
      </c>
      <c r="B32" s="74" t="s">
        <v>65</v>
      </c>
      <c r="C32" s="137" t="s">
        <v>66</v>
      </c>
      <c r="D32" s="137"/>
      <c r="E32" s="74" t="s">
        <v>67</v>
      </c>
    </row>
  </sheetData>
  <mergeCells count="11">
    <mergeCell ref="C27:D27"/>
    <mergeCell ref="A1:N1"/>
    <mergeCell ref="A2:N2"/>
    <mergeCell ref="A12:F12"/>
    <mergeCell ref="G12:H12"/>
    <mergeCell ref="I12:N12"/>
    <mergeCell ref="C28:D28"/>
    <mergeCell ref="C29:D29"/>
    <mergeCell ref="C30:D30"/>
    <mergeCell ref="C31:D31"/>
    <mergeCell ref="C32:D3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"/>
  <sheetViews>
    <sheetView view="pageBreakPreview" topLeftCell="A5" zoomScale="80" zoomScaleNormal="100" zoomScaleSheetLayoutView="80" workbookViewId="0">
      <selection activeCell="F25" sqref="F25"/>
    </sheetView>
  </sheetViews>
  <sheetFormatPr defaultRowHeight="15"/>
  <cols>
    <col min="1" max="1" width="3.85546875" customWidth="1"/>
    <col min="2" max="2" width="13.5703125" customWidth="1"/>
    <col min="3" max="3" width="26.140625" customWidth="1"/>
    <col min="4" max="4" width="16.140625" customWidth="1"/>
    <col min="5" max="5" width="13.140625" customWidth="1"/>
    <col min="6" max="6" width="9.140625" customWidth="1"/>
    <col min="7" max="7" width="10.140625" customWidth="1"/>
    <col min="8" max="8" width="13.7109375" customWidth="1"/>
    <col min="9" max="9" width="9.5703125" customWidth="1"/>
    <col min="10" max="10" width="16" customWidth="1"/>
    <col min="11" max="11" width="12.7109375" customWidth="1"/>
    <col min="12" max="12" width="7.7109375" customWidth="1"/>
    <col min="13" max="13" width="9.140625" customWidth="1"/>
  </cols>
  <sheetData>
    <row r="1" spans="1:13" ht="15.75">
      <c r="A1" s="125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13" ht="15.75">
      <c r="A2" s="125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15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>
      <c r="A4" s="2" t="s">
        <v>0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5.75">
      <c r="A5" s="5" t="s">
        <v>1</v>
      </c>
      <c r="B5" s="5"/>
      <c r="C5" s="6" t="s">
        <v>5</v>
      </c>
      <c r="D5" s="5"/>
      <c r="E5" s="5" t="s">
        <v>2</v>
      </c>
      <c r="F5" s="5"/>
      <c r="G5" s="5" t="s">
        <v>3</v>
      </c>
      <c r="H5" s="5"/>
      <c r="I5" s="3"/>
      <c r="J5" s="5"/>
      <c r="K5" s="5"/>
      <c r="L5" s="5"/>
      <c r="M5" s="5"/>
    </row>
    <row r="6" spans="1:13" ht="15.75">
      <c r="A6" s="5" t="s">
        <v>4</v>
      </c>
      <c r="B6" s="5"/>
      <c r="C6" s="6" t="s">
        <v>5</v>
      </c>
      <c r="D6" s="5"/>
      <c r="E6" s="5" t="s">
        <v>6</v>
      </c>
      <c r="F6" s="5"/>
      <c r="G6" s="6" t="s">
        <v>5</v>
      </c>
      <c r="H6" s="5"/>
      <c r="I6" s="3"/>
      <c r="J6" s="5"/>
      <c r="K6" s="5"/>
      <c r="L6" s="5"/>
      <c r="M6" s="5"/>
    </row>
    <row r="7" spans="1:13" ht="15.75">
      <c r="A7" s="5" t="s">
        <v>7</v>
      </c>
      <c r="B7" s="5"/>
      <c r="C7" s="6" t="s">
        <v>5</v>
      </c>
      <c r="D7" s="5"/>
      <c r="E7" s="5" t="s">
        <v>8</v>
      </c>
      <c r="F7" s="5"/>
      <c r="G7" s="5" t="s">
        <v>190</v>
      </c>
      <c r="H7" s="5"/>
      <c r="I7" s="3"/>
      <c r="J7" s="5"/>
      <c r="K7" s="5"/>
      <c r="L7" s="5"/>
      <c r="M7" s="5"/>
    </row>
    <row r="8" spans="1:13" ht="15.75">
      <c r="A8" s="127" t="s">
        <v>9</v>
      </c>
      <c r="B8" s="128"/>
      <c r="C8" s="128"/>
      <c r="D8" s="128"/>
      <c r="E8" s="129"/>
      <c r="F8" s="130" t="s">
        <v>10</v>
      </c>
      <c r="G8" s="129"/>
      <c r="H8" s="131" t="s">
        <v>11</v>
      </c>
      <c r="I8" s="128"/>
      <c r="J8" s="128"/>
      <c r="K8" s="128"/>
      <c r="L8" s="128"/>
      <c r="M8" s="129"/>
    </row>
    <row r="9" spans="1:13" ht="31.5">
      <c r="A9" s="7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8" t="s">
        <v>17</v>
      </c>
      <c r="G9" s="8" t="s">
        <v>18</v>
      </c>
      <c r="H9" s="9" t="s">
        <v>19</v>
      </c>
      <c r="I9" s="9" t="s">
        <v>20</v>
      </c>
      <c r="J9" s="9" t="s">
        <v>21</v>
      </c>
      <c r="K9" s="9" t="s">
        <v>22</v>
      </c>
      <c r="L9" s="9" t="s">
        <v>23</v>
      </c>
      <c r="M9" s="9" t="s">
        <v>24</v>
      </c>
    </row>
    <row r="10" spans="1:13" ht="15.75">
      <c r="A10" s="10" t="s">
        <v>25</v>
      </c>
      <c r="B10" s="11">
        <v>2260202001</v>
      </c>
      <c r="C10" s="12" t="s">
        <v>26</v>
      </c>
      <c r="D10" s="13" t="s">
        <v>27</v>
      </c>
      <c r="E10" s="13">
        <v>2022</v>
      </c>
      <c r="F10" s="14">
        <f>(H10*20%)+(I10*10%)+(J10*10%)+(K10*10%)+(L10*20%)+(M10*30%)</f>
        <v>0</v>
      </c>
      <c r="G10" s="15" t="str">
        <f>IF(F10&gt;=81,"A",IF(F10&gt;66,"B",IF(F10&gt;=56,"C",IF(F10&gt;=46,"D",IF(F10&lt;46,"E")))))</f>
        <v>E</v>
      </c>
      <c r="H10" s="16"/>
      <c r="I10" s="17"/>
      <c r="J10" s="16"/>
      <c r="K10" s="16"/>
      <c r="L10" s="18"/>
      <c r="M10" s="16"/>
    </row>
    <row r="11" spans="1:13" ht="15.75">
      <c r="A11" s="10" t="s">
        <v>28</v>
      </c>
      <c r="B11" s="19">
        <v>2260202002</v>
      </c>
      <c r="C11" s="20" t="s">
        <v>29</v>
      </c>
      <c r="D11" s="13" t="s">
        <v>27</v>
      </c>
      <c r="E11" s="13">
        <v>2022</v>
      </c>
      <c r="F11" s="14">
        <f t="shared" ref="F11:F21" si="0">(H11*20%)+(I11*10%)+(J11*10%)+(K11*10%)+(L11*20%)+(M11*30%)</f>
        <v>0</v>
      </c>
      <c r="G11" s="15" t="str">
        <f t="shared" ref="G11:G21" si="1">IF(F11&gt;=81,"A",IF(F11&gt;66,"B",IF(F11&gt;=56,"C",IF(F11&gt;=46,"D",IF(F11&lt;46,"E")))))</f>
        <v>E</v>
      </c>
      <c r="H11" s="16"/>
      <c r="I11" s="21"/>
      <c r="J11" s="16"/>
      <c r="K11" s="16"/>
      <c r="L11" s="18"/>
      <c r="M11" s="16"/>
    </row>
    <row r="12" spans="1:13" ht="15.75">
      <c r="A12" s="10" t="s">
        <v>30</v>
      </c>
      <c r="B12" s="19">
        <v>2260202012</v>
      </c>
      <c r="C12" s="20" t="s">
        <v>31</v>
      </c>
      <c r="D12" s="13" t="s">
        <v>27</v>
      </c>
      <c r="E12" s="13">
        <v>2022</v>
      </c>
      <c r="F12" s="14">
        <f t="shared" si="0"/>
        <v>0</v>
      </c>
      <c r="G12" s="15" t="str">
        <f t="shared" si="1"/>
        <v>E</v>
      </c>
      <c r="H12" s="16"/>
      <c r="I12" s="21"/>
      <c r="J12" s="16"/>
      <c r="K12" s="16"/>
      <c r="L12" s="18"/>
      <c r="M12" s="16"/>
    </row>
    <row r="13" spans="1:13" ht="15.75">
      <c r="A13" s="10" t="s">
        <v>32</v>
      </c>
      <c r="B13" s="19">
        <v>2260202003</v>
      </c>
      <c r="C13" s="20" t="s">
        <v>33</v>
      </c>
      <c r="D13" s="13" t="s">
        <v>27</v>
      </c>
      <c r="E13" s="13">
        <v>2022</v>
      </c>
      <c r="F13" s="14">
        <f t="shared" si="0"/>
        <v>0</v>
      </c>
      <c r="G13" s="15" t="str">
        <f t="shared" si="1"/>
        <v>E</v>
      </c>
      <c r="H13" s="16"/>
      <c r="I13" s="21"/>
      <c r="J13" s="16"/>
      <c r="K13" s="16"/>
      <c r="L13" s="18"/>
      <c r="M13" s="16"/>
    </row>
    <row r="14" spans="1:13" ht="15.75">
      <c r="A14" s="10" t="s">
        <v>34</v>
      </c>
      <c r="B14" s="19">
        <v>2260202004</v>
      </c>
      <c r="C14" s="20" t="s">
        <v>35</v>
      </c>
      <c r="D14" s="13" t="s">
        <v>27</v>
      </c>
      <c r="E14" s="13">
        <v>2022</v>
      </c>
      <c r="F14" s="14">
        <f t="shared" si="0"/>
        <v>0</v>
      </c>
      <c r="G14" s="15" t="str">
        <f t="shared" si="1"/>
        <v>E</v>
      </c>
      <c r="H14" s="16"/>
      <c r="I14" s="21"/>
      <c r="J14" s="16"/>
      <c r="K14" s="16"/>
      <c r="L14" s="18"/>
      <c r="M14" s="16"/>
    </row>
    <row r="15" spans="1:13" ht="15.75">
      <c r="A15" s="10" t="s">
        <v>36</v>
      </c>
      <c r="B15" s="19">
        <v>2260202006</v>
      </c>
      <c r="C15" s="20" t="s">
        <v>37</v>
      </c>
      <c r="D15" s="13" t="s">
        <v>27</v>
      </c>
      <c r="E15" s="13">
        <v>2022</v>
      </c>
      <c r="F15" s="14">
        <f t="shared" si="0"/>
        <v>0</v>
      </c>
      <c r="G15" s="15" t="str">
        <f t="shared" si="1"/>
        <v>E</v>
      </c>
      <c r="H15" s="16"/>
      <c r="I15" s="21"/>
      <c r="J15" s="16"/>
      <c r="K15" s="16"/>
      <c r="L15" s="18"/>
      <c r="M15" s="16"/>
    </row>
    <row r="16" spans="1:13" ht="15.75">
      <c r="A16" s="10" t="s">
        <v>38</v>
      </c>
      <c r="B16" s="19">
        <v>2260202013</v>
      </c>
      <c r="C16" s="20" t="s">
        <v>39</v>
      </c>
      <c r="D16" s="13" t="s">
        <v>27</v>
      </c>
      <c r="E16" s="13">
        <v>2022</v>
      </c>
      <c r="F16" s="14">
        <f t="shared" si="0"/>
        <v>0</v>
      </c>
      <c r="G16" s="15" t="str">
        <f t="shared" si="1"/>
        <v>E</v>
      </c>
      <c r="H16" s="16"/>
      <c r="I16" s="21"/>
      <c r="J16" s="16"/>
      <c r="K16" s="16"/>
      <c r="L16" s="18"/>
      <c r="M16" s="16"/>
    </row>
    <row r="17" spans="1:13" ht="15.75">
      <c r="A17" s="10" t="s">
        <v>40</v>
      </c>
      <c r="B17" s="22">
        <v>2260202009</v>
      </c>
      <c r="C17" s="23" t="s">
        <v>41</v>
      </c>
      <c r="D17" s="13" t="s">
        <v>27</v>
      </c>
      <c r="E17" s="13">
        <v>2022</v>
      </c>
      <c r="F17" s="14">
        <f t="shared" si="0"/>
        <v>0</v>
      </c>
      <c r="G17" s="15" t="str">
        <f t="shared" si="1"/>
        <v>E</v>
      </c>
      <c r="H17" s="16"/>
      <c r="I17" s="21"/>
      <c r="J17" s="16"/>
      <c r="K17" s="16"/>
      <c r="L17" s="18"/>
      <c r="M17" s="16"/>
    </row>
    <row r="18" spans="1:13" ht="15.75">
      <c r="A18" s="10" t="s">
        <v>42</v>
      </c>
      <c r="B18" s="22">
        <v>2260202010</v>
      </c>
      <c r="C18" s="24" t="s">
        <v>43</v>
      </c>
      <c r="D18" s="13" t="s">
        <v>27</v>
      </c>
      <c r="E18" s="13">
        <v>2022</v>
      </c>
      <c r="F18" s="14">
        <f t="shared" si="0"/>
        <v>0</v>
      </c>
      <c r="G18" s="15" t="str">
        <f t="shared" si="1"/>
        <v>E</v>
      </c>
      <c r="H18" s="16"/>
      <c r="I18" s="21"/>
      <c r="J18" s="16"/>
      <c r="K18" s="16"/>
      <c r="L18" s="18"/>
      <c r="M18" s="16"/>
    </row>
    <row r="19" spans="1:13" ht="15.75">
      <c r="A19" s="10" t="s">
        <v>44</v>
      </c>
      <c r="B19" s="22">
        <v>2260202011</v>
      </c>
      <c r="C19" s="24" t="s">
        <v>45</v>
      </c>
      <c r="D19" s="13" t="s">
        <v>27</v>
      </c>
      <c r="E19" s="13">
        <v>2022</v>
      </c>
      <c r="F19" s="14">
        <f t="shared" si="0"/>
        <v>0</v>
      </c>
      <c r="G19" s="15" t="str">
        <f t="shared" si="1"/>
        <v>E</v>
      </c>
      <c r="H19" s="16"/>
      <c r="I19" s="21"/>
      <c r="J19" s="16"/>
      <c r="K19" s="16"/>
      <c r="L19" s="18"/>
      <c r="M19" s="16"/>
    </row>
    <row r="20" spans="1:13" ht="15.75">
      <c r="A20" s="10" t="s">
        <v>46</v>
      </c>
      <c r="B20" s="22">
        <v>2260202014</v>
      </c>
      <c r="C20" s="24" t="s">
        <v>47</v>
      </c>
      <c r="D20" s="13" t="s">
        <v>27</v>
      </c>
      <c r="E20" s="13">
        <v>2022</v>
      </c>
      <c r="F20" s="14">
        <f t="shared" si="0"/>
        <v>0</v>
      </c>
      <c r="G20" s="15" t="str">
        <f t="shared" si="1"/>
        <v>E</v>
      </c>
      <c r="H20" s="16"/>
      <c r="I20" s="21"/>
      <c r="J20" s="16"/>
      <c r="K20" s="16"/>
      <c r="L20" s="18"/>
      <c r="M20" s="16"/>
    </row>
    <row r="21" spans="1:13" ht="15.75">
      <c r="A21" s="10" t="s">
        <v>48</v>
      </c>
      <c r="B21" s="22">
        <v>2260202015</v>
      </c>
      <c r="C21" s="24" t="s">
        <v>49</v>
      </c>
      <c r="D21" s="13" t="s">
        <v>27</v>
      </c>
      <c r="E21" s="13">
        <v>2022</v>
      </c>
      <c r="F21" s="14">
        <f t="shared" si="0"/>
        <v>0</v>
      </c>
      <c r="G21" s="15" t="str">
        <f t="shared" si="1"/>
        <v>E</v>
      </c>
      <c r="H21" s="16"/>
      <c r="I21" s="21"/>
      <c r="J21" s="16"/>
      <c r="K21" s="16"/>
      <c r="L21" s="18"/>
      <c r="M21" s="16"/>
    </row>
    <row r="22" spans="1:13" ht="15.75">
      <c r="A22" s="25"/>
      <c r="B22" s="25"/>
      <c r="C22" s="3"/>
      <c r="D22" s="25"/>
      <c r="E22" s="25"/>
      <c r="F22" s="25"/>
      <c r="G22" s="25"/>
      <c r="H22" s="26"/>
      <c r="I22" s="26"/>
      <c r="J22" s="26"/>
      <c r="K22" s="26"/>
      <c r="L22" s="26"/>
      <c r="M22" s="26"/>
    </row>
    <row r="23" spans="1:13" ht="15.75">
      <c r="A23" s="5" t="s">
        <v>50</v>
      </c>
      <c r="B23" s="3"/>
      <c r="C23" s="3"/>
      <c r="D23" s="3"/>
      <c r="E23" s="3"/>
      <c r="F23" s="25"/>
      <c r="G23" s="25"/>
      <c r="H23" s="3"/>
      <c r="I23" s="25"/>
      <c r="J23" s="3"/>
      <c r="K23" s="3"/>
      <c r="L23" s="3"/>
      <c r="M23" s="26"/>
    </row>
    <row r="24" spans="1:13" ht="15.75">
      <c r="A24" s="27" t="s">
        <v>12</v>
      </c>
      <c r="B24" s="27" t="s">
        <v>51</v>
      </c>
      <c r="C24" s="27" t="s">
        <v>18</v>
      </c>
      <c r="D24" s="27" t="s">
        <v>52</v>
      </c>
      <c r="E24" s="25"/>
      <c r="F24" s="25"/>
      <c r="G24" s="3"/>
      <c r="H24" s="28"/>
      <c r="I24" s="26"/>
      <c r="J24" s="29"/>
    </row>
    <row r="25" spans="1:13" ht="15.75">
      <c r="A25" s="13">
        <v>1</v>
      </c>
      <c r="B25" s="13" t="s">
        <v>53</v>
      </c>
      <c r="C25" s="13" t="s">
        <v>54</v>
      </c>
      <c r="D25" s="30" t="s">
        <v>55</v>
      </c>
      <c r="E25" s="25"/>
      <c r="F25" s="25"/>
      <c r="G25" s="3"/>
      <c r="H25" s="28"/>
      <c r="I25" s="26"/>
      <c r="J25" s="29"/>
    </row>
    <row r="26" spans="1:13" ht="15.75">
      <c r="A26" s="13">
        <v>3</v>
      </c>
      <c r="B26" s="13" t="s">
        <v>56</v>
      </c>
      <c r="C26" s="13" t="s">
        <v>57</v>
      </c>
      <c r="D26" s="13" t="s">
        <v>58</v>
      </c>
      <c r="E26" s="25"/>
      <c r="F26" s="25"/>
      <c r="G26" s="3"/>
      <c r="H26" s="28"/>
      <c r="I26" s="26"/>
      <c r="J26" s="29"/>
    </row>
    <row r="27" spans="1:13" ht="15.75">
      <c r="A27" s="13">
        <v>5</v>
      </c>
      <c r="B27" s="13" t="s">
        <v>59</v>
      </c>
      <c r="C27" s="13" t="s">
        <v>60</v>
      </c>
      <c r="D27" s="13" t="s">
        <v>61</v>
      </c>
      <c r="E27" s="25"/>
      <c r="F27" s="25"/>
      <c r="G27" s="3"/>
      <c r="H27" s="3"/>
      <c r="I27" s="26"/>
      <c r="J27" s="29"/>
    </row>
    <row r="28" spans="1:13" ht="15.75">
      <c r="A28" s="13">
        <v>7</v>
      </c>
      <c r="B28" s="13" t="s">
        <v>62</v>
      </c>
      <c r="C28" s="13" t="s">
        <v>63</v>
      </c>
      <c r="D28" s="13" t="s">
        <v>64</v>
      </c>
      <c r="E28" s="25"/>
      <c r="F28" s="25"/>
      <c r="G28" s="26"/>
      <c r="H28" s="26"/>
      <c r="I28" s="26"/>
      <c r="J28" s="29"/>
    </row>
    <row r="29" spans="1:13" ht="15.75">
      <c r="A29" s="13">
        <v>9</v>
      </c>
      <c r="B29" s="13" t="s">
        <v>65</v>
      </c>
      <c r="C29" s="13" t="s">
        <v>66</v>
      </c>
      <c r="D29" s="13" t="s">
        <v>67</v>
      </c>
      <c r="E29" s="25"/>
      <c r="F29" s="25"/>
      <c r="G29" s="26"/>
      <c r="H29" s="26"/>
      <c r="I29" s="26"/>
      <c r="J29" s="29"/>
    </row>
  </sheetData>
  <mergeCells count="5">
    <mergeCell ref="A1:M1"/>
    <mergeCell ref="A2:M2"/>
    <mergeCell ref="A8:E8"/>
    <mergeCell ref="F8:G8"/>
    <mergeCell ref="H8:M8"/>
  </mergeCells>
  <dataValidations count="1">
    <dataValidation allowBlank="1" showInputMessage="1" showErrorMessage="1" promptTitle="Keterangan :" prompt="Nilai = AP 10%+HP 15%+KPQ 10%+KPT 15%+KP UTS 25%+KP UAS 25%" sqref="L10:L21" xr:uid="{00000000-0002-0000-0400-000000000000}"/>
  </dataValidations>
  <pageMargins left="0.7" right="0.7" top="0.75" bottom="0.75" header="0.3" footer="0.3"/>
  <pageSetup paperSize="9" scale="8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 1 Reg</vt:lpstr>
      <vt:lpstr>PS 1 Reg</vt:lpstr>
      <vt:lpstr>ES 1 Karyawan</vt:lpstr>
      <vt:lpstr>ES 3</vt:lpstr>
      <vt:lpstr>PS 3</vt:lpstr>
      <vt:lpstr>ES 5</vt:lpstr>
      <vt:lpstr>PS 5</vt:lpstr>
      <vt:lpstr>ES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Lenovo</cp:lastModifiedBy>
  <cp:lastPrinted>2025-05-08T04:07:51Z</cp:lastPrinted>
  <dcterms:created xsi:type="dcterms:W3CDTF">2025-05-08T03:29:16Z</dcterms:created>
  <dcterms:modified xsi:type="dcterms:W3CDTF">2026-06-09T05:17:43Z</dcterms:modified>
</cp:coreProperties>
</file>